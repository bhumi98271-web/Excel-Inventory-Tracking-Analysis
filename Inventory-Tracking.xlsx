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https://d.docs.live.net/FD2D02926FCBD2BF/Documents/"/>
    </mc:Choice>
  </mc:AlternateContent>
  <xr:revisionPtr revIDLastSave="690" documentId="8_{FA84E2EA-D791-4C5E-9A54-0E42B97785B7}" xr6:coauthVersionLast="47" xr6:coauthVersionMax="47" xr10:uidLastSave="{C43A93B1-A8DC-492E-85CA-303199B45788}"/>
  <bookViews>
    <workbookView xWindow="-108" yWindow="-108" windowWidth="23256" windowHeight="12456" firstSheet="2" activeTab="2" xr2:uid="{00000000-000D-0000-FFFF-FFFF00000000}"/>
  </bookViews>
  <sheets>
    <sheet name="raw_data" sheetId="1" r:id="rId1"/>
    <sheet name="stock details" sheetId="4" r:id="rId2"/>
    <sheet name="analysis" sheetId="5" r:id="rId3"/>
    <sheet name="inventory value" sheetId="6" r:id="rId4"/>
    <sheet name="inv_by_product" sheetId="7" r:id="rId5"/>
    <sheet name="location" sheetId="8" r:id="rId6"/>
    <sheet name="salers analysis" sheetId="9" r:id="rId7"/>
    <sheet name="avg lead time" sheetId="10" r:id="rId8"/>
    <sheet name="stock level" sheetId="14" r:id="rId9"/>
    <sheet name="cleaned_dataset" sheetId="3" r:id="rId10"/>
  </sheets>
  <definedNames>
    <definedName name="Slicer_Category">#N/A</definedName>
    <definedName name="Slicer_stock_status">#N/A</definedName>
    <definedName name="Slicer_StorageLocation">#N/A</definedName>
    <definedName name="Slicer_Supplie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F2" i="3" a="1"/>
  <c r="F2" i="3" s="1"/>
  <c r="F3" i="3" a="1"/>
  <c r="F3" i="3" s="1"/>
  <c r="F4" i="3" a="1"/>
  <c r="F4" i="3" s="1"/>
  <c r="F5" i="3" a="1"/>
  <c r="F5" i="3" s="1"/>
  <c r="F6" i="3" a="1"/>
  <c r="F6" i="3" s="1"/>
  <c r="F7" i="3" a="1"/>
  <c r="F7" i="3" s="1"/>
  <c r="F8" i="3" a="1"/>
  <c r="F8" i="3" s="1"/>
  <c r="F9" i="3" a="1"/>
  <c r="F9" i="3" s="1"/>
  <c r="F10" i="3" a="1"/>
  <c r="F10" i="3" s="1"/>
  <c r="F11" i="3" a="1"/>
  <c r="F11" i="3" s="1"/>
  <c r="F12" i="3" a="1"/>
  <c r="F12" i="3" s="1"/>
  <c r="F13" i="3" a="1"/>
  <c r="F13" i="3" s="1"/>
  <c r="F14" i="3" a="1"/>
  <c r="F14" i="3" s="1"/>
  <c r="F15" i="3" a="1"/>
  <c r="F15" i="3" s="1"/>
  <c r="F16" i="3" a="1"/>
  <c r="F16" i="3" s="1"/>
  <c r="F17" i="3" a="1"/>
  <c r="F17" i="3" s="1"/>
  <c r="F18" i="3" a="1"/>
  <c r="F18" i="3" s="1"/>
  <c r="F19" i="3" a="1"/>
  <c r="F19" i="3" s="1"/>
  <c r="F20" i="3" a="1"/>
  <c r="F20" i="3" s="1"/>
  <c r="F21" i="3" a="1"/>
  <c r="F21" i="3" s="1"/>
  <c r="F22" i="3" a="1"/>
  <c r="F22" i="3" s="1"/>
  <c r="F23" i="3" a="1"/>
  <c r="F23" i="3" s="1"/>
  <c r="F24" i="3" a="1"/>
  <c r="F24" i="3" s="1"/>
  <c r="F25" i="3" a="1"/>
  <c r="F25" i="3" s="1"/>
  <c r="F26" i="3" a="1"/>
  <c r="F26" i="3" s="1"/>
  <c r="F27" i="3" a="1"/>
  <c r="F27" i="3" s="1"/>
  <c r="F28" i="3" a="1"/>
  <c r="F28" i="3" s="1"/>
  <c r="F29" i="3" a="1"/>
  <c r="F29" i="3" s="1"/>
  <c r="F30" i="3" a="1"/>
  <c r="F30" i="3" s="1"/>
  <c r="F31" i="3" a="1"/>
  <c r="F31" i="3" s="1"/>
  <c r="F32" i="3" a="1"/>
  <c r="F32" i="3"/>
  <c r="F33" i="3" a="1"/>
  <c r="F33" i="3" s="1"/>
  <c r="F34" i="3" a="1"/>
  <c r="F34" i="3" s="1"/>
  <c r="F35" i="3" a="1"/>
  <c r="F35" i="3" s="1"/>
  <c r="F36" i="3" a="1"/>
  <c r="F36" i="3" s="1"/>
  <c r="F37" i="3" a="1"/>
  <c r="F37" i="3" s="1"/>
  <c r="F38" i="3" a="1"/>
  <c r="F38" i="3"/>
  <c r="F39" i="3" a="1"/>
  <c r="F39" i="3"/>
  <c r="F40" i="3" a="1"/>
  <c r="F40" i="3"/>
  <c r="F41" i="3" a="1"/>
  <c r="F41" i="3" s="1"/>
  <c r="F42" i="3" a="1"/>
  <c r="F42" i="3" s="1"/>
  <c r="F43" i="3" a="1"/>
  <c r="F43" i="3" s="1"/>
  <c r="F44" i="3" a="1"/>
  <c r="F44" i="3"/>
  <c r="F45" i="3" a="1"/>
  <c r="F45" i="3" s="1"/>
  <c r="F46" i="3" a="1"/>
  <c r="F46" i="3"/>
  <c r="F47" i="3" a="1"/>
  <c r="F47" i="3" s="1"/>
  <c r="F48" i="3" a="1"/>
  <c r="F48" i="3" s="1"/>
  <c r="F49" i="3" a="1"/>
  <c r="F49" i="3" s="1"/>
  <c r="F50" i="3" a="1"/>
  <c r="F50" i="3" s="1"/>
  <c r="F51" i="3" a="1"/>
  <c r="F51" i="3" s="1"/>
  <c r="F52" i="3" a="1"/>
  <c r="F52" i="3" s="1"/>
  <c r="F53" i="3" a="1"/>
  <c r="F53" i="3" s="1"/>
  <c r="F54" i="3" a="1"/>
  <c r="F54" i="3" s="1"/>
  <c r="F55" i="3" a="1"/>
  <c r="F55" i="3" s="1"/>
  <c r="F56" i="3" a="1"/>
  <c r="F56" i="3" s="1"/>
  <c r="F57" i="3" a="1"/>
  <c r="F57" i="3" s="1"/>
  <c r="F58" i="3" a="1"/>
  <c r="F58" i="3" s="1"/>
  <c r="F59" i="3" a="1"/>
  <c r="F59" i="3" s="1"/>
  <c r="F60" i="3" a="1"/>
  <c r="F60" i="3" s="1"/>
  <c r="F61" i="3" a="1"/>
  <c r="F61" i="3" s="1"/>
  <c r="F62" i="3" a="1"/>
  <c r="F62" i="3" s="1"/>
  <c r="F63" i="3" a="1"/>
  <c r="F63" i="3" s="1"/>
  <c r="F64" i="3" a="1"/>
  <c r="F64" i="3" s="1"/>
  <c r="F65" i="3" a="1"/>
  <c r="F65" i="3" s="1"/>
  <c r="F66" i="3" a="1"/>
  <c r="F66" i="3" s="1"/>
  <c r="F67" i="3" a="1"/>
  <c r="F67" i="3" s="1"/>
  <c r="F68" i="3" a="1"/>
  <c r="F68" i="3" s="1"/>
  <c r="F69" i="3" a="1"/>
  <c r="F69" i="3" s="1"/>
  <c r="F70" i="3" a="1"/>
  <c r="F70" i="3" s="1"/>
  <c r="F71" i="3" a="1"/>
  <c r="F71" i="3" s="1"/>
  <c r="F72" i="3" a="1"/>
  <c r="F72" i="3" s="1"/>
  <c r="F73" i="3" a="1"/>
  <c r="F73" i="3" s="1"/>
  <c r="F74" i="3" a="1"/>
  <c r="F74" i="3" s="1"/>
  <c r="F75" i="3" a="1"/>
  <c r="F75" i="3" s="1"/>
  <c r="F76" i="3" a="1"/>
  <c r="F76" i="3" s="1"/>
  <c r="F77" i="3" a="1"/>
  <c r="F77" i="3" s="1"/>
  <c r="F78" i="3" a="1"/>
  <c r="F78" i="3" s="1"/>
  <c r="F79" i="3" a="1"/>
  <c r="F79" i="3" s="1"/>
  <c r="F80" i="3" a="1"/>
  <c r="F80" i="3" s="1"/>
  <c r="F81" i="3" a="1"/>
  <c r="F81" i="3" s="1"/>
  <c r="F82" i="3" a="1"/>
  <c r="F82" i="3" s="1"/>
  <c r="F83" i="3" a="1"/>
  <c r="F83" i="3" s="1"/>
  <c r="F84" i="3" a="1"/>
  <c r="F84" i="3" s="1"/>
  <c r="F85" i="3" a="1"/>
  <c r="F85" i="3" s="1"/>
  <c r="F86" i="3" a="1"/>
  <c r="F86" i="3" s="1"/>
  <c r="F87" i="3" a="1"/>
  <c r="F87" i="3"/>
  <c r="F88" i="3" a="1"/>
  <c r="F88" i="3" s="1"/>
  <c r="F89" i="3" a="1"/>
  <c r="F89" i="3" s="1"/>
  <c r="F90" i="3" a="1"/>
  <c r="F90" i="3" s="1"/>
  <c r="F91" i="3" a="1"/>
  <c r="F91" i="3" s="1"/>
  <c r="F92" i="3" a="1"/>
  <c r="F92" i="3" s="1"/>
  <c r="F93" i="3" a="1"/>
  <c r="F93" i="3" s="1"/>
  <c r="F94" i="3" a="1"/>
  <c r="F94" i="3" s="1"/>
  <c r="F95" i="3" a="1"/>
  <c r="F95" i="3" s="1"/>
  <c r="F96" i="3" a="1"/>
  <c r="F96" i="3" s="1"/>
  <c r="F97" i="3" a="1"/>
  <c r="F97" i="3" s="1"/>
  <c r="F98" i="3" a="1"/>
  <c r="F98" i="3" s="1"/>
  <c r="F99" i="3" a="1"/>
  <c r="F99" i="3" s="1"/>
  <c r="F100" i="3" a="1"/>
  <c r="F100" i="3" s="1"/>
  <c r="F101" i="3" a="1"/>
  <c r="F101" i="3" s="1"/>
  <c r="F102" i="3" a="1"/>
  <c r="F102" i="3" s="1"/>
  <c r="F103" i="3" a="1"/>
  <c r="F103" i="3" s="1"/>
  <c r="F104" i="3" a="1"/>
  <c r="F104" i="3" s="1"/>
  <c r="F105" i="3" a="1"/>
  <c r="F105" i="3" s="1"/>
  <c r="F106" i="3" a="1"/>
  <c r="F106" i="3" s="1"/>
  <c r="F107" i="3" a="1"/>
  <c r="F107" i="3" s="1"/>
  <c r="F108" i="3" a="1"/>
  <c r="F108" i="3" s="1"/>
  <c r="F109" i="3" a="1"/>
  <c r="F109" i="3" s="1"/>
  <c r="F110" i="3" a="1"/>
  <c r="F110" i="3" s="1"/>
  <c r="F111" i="3" a="1"/>
  <c r="F111" i="3" s="1"/>
  <c r="F112" i="3" a="1"/>
  <c r="F112" i="3" s="1"/>
  <c r="F113" i="3" a="1"/>
  <c r="F113" i="3" s="1"/>
  <c r="F114" i="3" a="1"/>
  <c r="F114" i="3" s="1"/>
  <c r="F115" i="3" a="1"/>
  <c r="F115" i="3" s="1"/>
  <c r="F116" i="3" a="1"/>
  <c r="F116" i="3" s="1"/>
  <c r="F117" i="3" a="1"/>
  <c r="F117" i="3" s="1"/>
  <c r="F118" i="3" a="1"/>
  <c r="F118" i="3" s="1"/>
  <c r="F119" i="3" a="1"/>
  <c r="F119" i="3" s="1"/>
  <c r="F120" i="3" a="1"/>
  <c r="F120" i="3" s="1"/>
  <c r="F121" i="3" a="1"/>
  <c r="F121" i="3" s="1"/>
  <c r="F122" i="3" a="1"/>
  <c r="F122" i="3" s="1"/>
  <c r="F123" i="3" a="1"/>
  <c r="F123" i="3" s="1"/>
  <c r="F124" i="3" a="1"/>
  <c r="F124" i="3" s="1"/>
  <c r="F125" i="3" a="1"/>
  <c r="F125" i="3" s="1"/>
  <c r="F126" i="3" a="1"/>
  <c r="F126" i="3" s="1"/>
  <c r="F127" i="3" a="1"/>
  <c r="F127" i="3" s="1"/>
  <c r="F128" i="3" a="1"/>
  <c r="F128" i="3" s="1"/>
  <c r="F129" i="3" a="1"/>
  <c r="F129" i="3" s="1"/>
  <c r="F130" i="3" a="1"/>
  <c r="F130" i="3" s="1"/>
  <c r="F131" i="3" a="1"/>
  <c r="F131" i="3" s="1"/>
  <c r="F132" i="3" a="1"/>
  <c r="F132" i="3" s="1"/>
  <c r="F133" i="3" a="1"/>
  <c r="F133" i="3" s="1"/>
  <c r="F134" i="3" a="1"/>
  <c r="F134" i="3"/>
  <c r="F135" i="3" a="1"/>
  <c r="F135" i="3" s="1"/>
  <c r="F136" i="3" a="1"/>
  <c r="F136" i="3" s="1"/>
  <c r="F137" i="3" a="1"/>
  <c r="F137" i="3" s="1"/>
  <c r="F138" i="3" a="1"/>
  <c r="F138" i="3" s="1"/>
  <c r="F139" i="3" a="1"/>
  <c r="F139" i="3" s="1"/>
  <c r="F140" i="3" a="1"/>
  <c r="F140" i="3" s="1"/>
  <c r="F141" i="3" a="1"/>
  <c r="F141" i="3" s="1"/>
  <c r="F142" i="3" a="1"/>
  <c r="F142" i="3" s="1"/>
  <c r="F143" i="3" a="1"/>
  <c r="F143" i="3" s="1"/>
  <c r="F144" i="3" a="1"/>
  <c r="F144" i="3" s="1"/>
  <c r="F145" i="3" a="1"/>
  <c r="F145" i="3" s="1"/>
  <c r="F146" i="3" a="1"/>
  <c r="F146" i="3" s="1"/>
  <c r="F147" i="3" a="1"/>
  <c r="F147" i="3" s="1"/>
  <c r="F148" i="3" a="1"/>
  <c r="F148" i="3" s="1"/>
  <c r="F149" i="3" a="1"/>
  <c r="F149" i="3" s="1"/>
  <c r="F150" i="3" a="1"/>
  <c r="F150" i="3" s="1"/>
  <c r="F151" i="3" a="1"/>
  <c r="F151" i="3" s="1"/>
  <c r="F152" i="3" a="1"/>
  <c r="F152" i="3" s="1"/>
  <c r="F153" i="3" a="1"/>
  <c r="F153" i="3" s="1"/>
  <c r="F154" i="3" a="1"/>
  <c r="F154" i="3" s="1"/>
  <c r="F155" i="3" a="1"/>
  <c r="F155" i="3" s="1"/>
  <c r="F156" i="3" a="1"/>
  <c r="F156" i="3" s="1"/>
  <c r="F157" i="3" a="1"/>
  <c r="F157" i="3" s="1"/>
  <c r="F158" i="3" a="1"/>
  <c r="F158" i="3"/>
  <c r="F159" i="3" a="1"/>
  <c r="F159" i="3" s="1"/>
  <c r="F160" i="3" a="1"/>
  <c r="F160" i="3" s="1"/>
  <c r="F161" i="3" a="1"/>
  <c r="F161" i="3" s="1"/>
  <c r="F162" i="3" a="1"/>
  <c r="F162" i="3" s="1"/>
  <c r="F163" i="3" a="1"/>
  <c r="F163" i="3" s="1"/>
  <c r="F164" i="3" a="1"/>
  <c r="F164" i="3"/>
  <c r="F165" i="3" a="1"/>
  <c r="F165" i="3" s="1"/>
  <c r="F166" i="3" a="1"/>
  <c r="F166" i="3" s="1"/>
  <c r="F167" i="3" a="1"/>
  <c r="F167" i="3" s="1"/>
  <c r="F168" i="3" a="1"/>
  <c r="F168" i="3" s="1"/>
  <c r="F169" i="3" a="1"/>
  <c r="F169" i="3" s="1"/>
  <c r="F170" i="3" a="1"/>
  <c r="F170" i="3" s="1"/>
  <c r="F171" i="3" a="1"/>
  <c r="F171" i="3" s="1"/>
  <c r="F172" i="3" a="1"/>
  <c r="F172" i="3" s="1"/>
  <c r="F173" i="3" a="1"/>
  <c r="F173" i="3" s="1"/>
  <c r="F174" i="3" a="1"/>
  <c r="F174" i="3" s="1"/>
  <c r="F175" i="3" a="1"/>
  <c r="F175" i="3" s="1"/>
  <c r="F176" i="3" a="1"/>
  <c r="F176" i="3"/>
  <c r="F177" i="3" a="1"/>
  <c r="F177" i="3" s="1"/>
  <c r="F178" i="3" a="1"/>
  <c r="F178" i="3"/>
  <c r="F179" i="3" a="1"/>
  <c r="F179" i="3" s="1"/>
  <c r="F180" i="3" a="1"/>
  <c r="F180" i="3" s="1"/>
  <c r="F181" i="3" a="1"/>
  <c r="F181" i="3" s="1"/>
  <c r="F182" i="3" a="1"/>
  <c r="F182" i="3" s="1"/>
  <c r="F183" i="3" a="1"/>
  <c r="F183" i="3" s="1"/>
  <c r="F184" i="3" a="1"/>
  <c r="F184" i="3" s="1"/>
  <c r="F185" i="3" a="1"/>
  <c r="F185" i="3" s="1"/>
  <c r="F186" i="3" a="1"/>
  <c r="F186" i="3" s="1"/>
  <c r="F187" i="3" a="1"/>
  <c r="F187" i="3" s="1"/>
  <c r="F188" i="3" a="1"/>
  <c r="F188" i="3" s="1"/>
  <c r="F189" i="3" a="1"/>
  <c r="F189" i="3" s="1"/>
  <c r="F190" i="3" a="1"/>
  <c r="F190" i="3" s="1"/>
  <c r="F191" i="3" a="1"/>
  <c r="F191" i="3" s="1"/>
  <c r="F192" i="3" a="1"/>
  <c r="F192" i="3" s="1"/>
  <c r="F193" i="3" a="1"/>
  <c r="F193" i="3" s="1"/>
  <c r="F194" i="3" a="1"/>
  <c r="F194" i="3" s="1"/>
  <c r="F195" i="3" a="1"/>
  <c r="F195" i="3" s="1"/>
  <c r="F196" i="3" a="1"/>
  <c r="F196" i="3" s="1"/>
  <c r="F197" i="3" a="1"/>
  <c r="F197" i="3" s="1"/>
  <c r="F198" i="3" a="1"/>
  <c r="F198" i="3" s="1"/>
  <c r="F199" i="3" a="1"/>
  <c r="F199" i="3" s="1"/>
  <c r="F200" i="3" a="1"/>
  <c r="F200" i="3"/>
  <c r="F201" i="3" a="1"/>
  <c r="F201" i="3" s="1"/>
  <c r="F202" i="3" a="1"/>
  <c r="F202" i="3" s="1"/>
  <c r="F203" i="3" a="1"/>
  <c r="F203" i="3" s="1"/>
  <c r="F204" i="3" a="1"/>
  <c r="F204" i="3" s="1"/>
  <c r="F205" i="3" a="1"/>
  <c r="F205" i="3" s="1"/>
  <c r="F206" i="3" a="1"/>
  <c r="F206" i="3" s="1"/>
  <c r="F207" i="3" a="1"/>
  <c r="F207" i="3" s="1"/>
  <c r="F208" i="3" a="1"/>
  <c r="F208" i="3" s="1"/>
  <c r="F209" i="3" a="1"/>
  <c r="F209" i="3" s="1"/>
  <c r="F210" i="3" a="1"/>
  <c r="F210" i="3" s="1"/>
  <c r="F211" i="3" a="1"/>
  <c r="F211" i="3" s="1"/>
  <c r="F212" i="3" a="1"/>
  <c r="F212" i="3" s="1"/>
  <c r="F213" i="3" a="1"/>
  <c r="F213" i="3" s="1"/>
  <c r="F214" i="3" a="1"/>
  <c r="F214" i="3"/>
  <c r="F215" i="3" a="1"/>
  <c r="F215" i="3" s="1"/>
  <c r="F216" i="3" a="1"/>
  <c r="F216" i="3" s="1"/>
  <c r="F217" i="3" a="1"/>
  <c r="F217" i="3" s="1"/>
  <c r="F218" i="3" a="1"/>
  <c r="F218" i="3" s="1"/>
  <c r="F219" i="3" a="1"/>
  <c r="F219" i="3" s="1"/>
  <c r="F220" i="3" a="1"/>
  <c r="F220" i="3" s="1"/>
  <c r="F221" i="3" a="1"/>
  <c r="F221" i="3" s="1"/>
  <c r="F222" i="3" a="1"/>
  <c r="F222" i="3" s="1"/>
  <c r="F223" i="3" a="1"/>
  <c r="F223" i="3" s="1"/>
  <c r="F224" i="3" a="1"/>
  <c r="F224" i="3" s="1"/>
  <c r="F225" i="3" a="1"/>
  <c r="F225" i="3" s="1"/>
  <c r="F226" i="3" a="1"/>
  <c r="F226" i="3" s="1"/>
  <c r="F227" i="3" a="1"/>
  <c r="F227" i="3" s="1"/>
  <c r="F228" i="3" a="1"/>
  <c r="F228" i="3" s="1"/>
  <c r="F229" i="3" a="1"/>
  <c r="F229" i="3" s="1"/>
  <c r="F230" i="3" a="1"/>
  <c r="F230" i="3" s="1"/>
  <c r="F231" i="3" a="1"/>
  <c r="F231" i="3" s="1"/>
  <c r="F232" i="3" a="1"/>
  <c r="F232" i="3" s="1"/>
  <c r="F233" i="3" a="1"/>
  <c r="F233" i="3" s="1"/>
  <c r="F234" i="3" a="1"/>
  <c r="F234" i="3" s="1"/>
  <c r="F235" i="3" a="1"/>
  <c r="F235" i="3" s="1"/>
  <c r="F236" i="3" a="1"/>
  <c r="F236" i="3" s="1"/>
  <c r="F237" i="3" a="1"/>
  <c r="F237" i="3" s="1"/>
  <c r="F238" i="3" a="1"/>
  <c r="F238" i="3" s="1"/>
  <c r="F239" i="3" a="1"/>
  <c r="F239" i="3" s="1"/>
  <c r="F240" i="3" a="1"/>
  <c r="F240" i="3" s="1"/>
  <c r="F241" i="3" a="1"/>
  <c r="F241" i="3" s="1"/>
  <c r="F242" i="3" a="1"/>
  <c r="F242" i="3" s="1"/>
  <c r="F243" i="3" a="1"/>
  <c r="F243" i="3" s="1"/>
  <c r="F244" i="3" a="1"/>
  <c r="F244" i="3" s="1"/>
  <c r="F245" i="3" a="1"/>
  <c r="F245" i="3" s="1"/>
  <c r="F246" i="3" a="1"/>
  <c r="F246" i="3" s="1"/>
  <c r="F247" i="3" a="1"/>
  <c r="F247" i="3" s="1"/>
  <c r="F248" i="3" a="1"/>
  <c r="F248" i="3" s="1"/>
  <c r="F249" i="3" a="1"/>
  <c r="F249" i="3" s="1"/>
  <c r="F250" i="3" a="1"/>
  <c r="F250" i="3"/>
  <c r="F251" i="3" a="1"/>
  <c r="F251" i="3" s="1"/>
  <c r="F252" i="3" a="1"/>
  <c r="F252" i="3" s="1"/>
  <c r="F253" i="3" a="1"/>
  <c r="F253" i="3" s="1"/>
  <c r="F254" i="3" a="1"/>
  <c r="F254" i="3" s="1"/>
  <c r="F255" i="3" a="1"/>
  <c r="F255" i="3"/>
  <c r="F256" i="3" a="1"/>
  <c r="F256" i="3" s="1"/>
  <c r="F257" i="3" a="1"/>
  <c r="F257" i="3" s="1"/>
  <c r="F258" i="3" a="1"/>
  <c r="F258" i="3" s="1"/>
  <c r="F259" i="3" a="1"/>
  <c r="F259" i="3" s="1"/>
  <c r="F260" i="3" a="1"/>
  <c r="F260" i="3"/>
  <c r="F261" i="3" a="1"/>
  <c r="F261" i="3" s="1"/>
  <c r="F262" i="3" a="1"/>
  <c r="F262" i="3" s="1"/>
  <c r="F263" i="3" a="1"/>
  <c r="F263" i="3" s="1"/>
  <c r="F264" i="3" a="1"/>
  <c r="F264" i="3" s="1"/>
  <c r="F265" i="3" a="1"/>
  <c r="F265" i="3" s="1"/>
  <c r="F266" i="3" a="1"/>
  <c r="F266" i="3" s="1"/>
  <c r="F267" i="3" a="1"/>
  <c r="F267" i="3" s="1"/>
  <c r="F268" i="3" a="1"/>
  <c r="F268" i="3" s="1"/>
  <c r="F269" i="3" a="1"/>
  <c r="F269" i="3" s="1"/>
  <c r="F270" i="3" a="1"/>
  <c r="F270" i="3" s="1"/>
  <c r="F271" i="3" a="1"/>
  <c r="F271" i="3" s="1"/>
  <c r="F272" i="3" a="1"/>
  <c r="F272" i="3" s="1"/>
  <c r="F273" i="3" a="1"/>
  <c r="F273" i="3" s="1"/>
  <c r="F274" i="3" a="1"/>
  <c r="F274" i="3" s="1"/>
  <c r="F275" i="3" a="1"/>
  <c r="F275" i="3" s="1"/>
  <c r="F276" i="3" a="1"/>
  <c r="F276" i="3" s="1"/>
  <c r="F277" i="3" a="1"/>
  <c r="F277" i="3" s="1"/>
  <c r="F278" i="3" a="1"/>
  <c r="F278" i="3" s="1"/>
  <c r="F279" i="3" a="1"/>
  <c r="F279" i="3"/>
  <c r="F280" i="3" a="1"/>
  <c r="F280" i="3"/>
  <c r="F281" i="3" a="1"/>
  <c r="F281" i="3" s="1"/>
  <c r="F282" i="3" a="1"/>
  <c r="F282" i="3" s="1"/>
  <c r="F283" i="3" a="1"/>
  <c r="F283" i="3" s="1"/>
  <c r="F284" i="3" a="1"/>
  <c r="F284" i="3" s="1"/>
  <c r="F285" i="3" a="1"/>
  <c r="F285" i="3" s="1"/>
  <c r="F286" i="3" a="1"/>
  <c r="F286" i="3"/>
  <c r="F287" i="3" a="1"/>
  <c r="F287" i="3" s="1"/>
  <c r="F288" i="3" a="1"/>
  <c r="F288" i="3" s="1"/>
  <c r="F289" i="3" a="1"/>
  <c r="F289" i="3" s="1"/>
  <c r="F290" i="3" a="1"/>
  <c r="F290" i="3" s="1"/>
  <c r="F291" i="3" a="1"/>
  <c r="F291" i="3" s="1"/>
  <c r="F292" i="3" a="1"/>
  <c r="F292" i="3" s="1"/>
  <c r="F293" i="3" a="1"/>
  <c r="F293" i="3" s="1"/>
  <c r="F294" i="3" a="1"/>
  <c r="F294" i="3" s="1"/>
  <c r="F295" i="3" a="1"/>
  <c r="F295" i="3" s="1"/>
  <c r="F296" i="3" a="1"/>
  <c r="F296" i="3"/>
  <c r="F297" i="3" a="1"/>
  <c r="F297" i="3" s="1"/>
  <c r="F298" i="3" a="1"/>
  <c r="F298" i="3" s="1"/>
  <c r="F299" i="3" a="1"/>
  <c r="F299" i="3" s="1"/>
  <c r="F300" i="3" a="1"/>
  <c r="F300" i="3" s="1"/>
  <c r="F301" i="3" a="1"/>
  <c r="F301" i="3" s="1"/>
  <c r="F302" i="3" a="1"/>
  <c r="F302" i="3" s="1"/>
  <c r="F303" i="3" a="1"/>
  <c r="F303" i="3" s="1"/>
  <c r="F304" i="3" a="1"/>
  <c r="F304" i="3" s="1"/>
  <c r="F305" i="3" a="1"/>
  <c r="F305" i="3" s="1"/>
  <c r="F306" i="3" a="1"/>
  <c r="F306" i="3" s="1"/>
  <c r="F307" i="3" a="1"/>
  <c r="F307" i="3" s="1"/>
  <c r="F308" i="3" a="1"/>
  <c r="F308" i="3" s="1"/>
  <c r="F309" i="3" a="1"/>
  <c r="F309" i="3" s="1"/>
  <c r="F310" i="3" a="1"/>
  <c r="F310" i="3" s="1"/>
  <c r="F311" i="3" a="1"/>
  <c r="F311" i="3" s="1"/>
  <c r="F312" i="3" a="1"/>
  <c r="F312" i="3" s="1"/>
  <c r="F313" i="3" a="1"/>
  <c r="F313" i="3" s="1"/>
  <c r="F314" i="3" a="1"/>
  <c r="F314" i="3" s="1"/>
  <c r="F315" i="3" a="1"/>
  <c r="F315" i="3" s="1"/>
  <c r="F316" i="3" a="1"/>
  <c r="F316" i="3" s="1"/>
  <c r="F317" i="3" a="1"/>
  <c r="F317" i="3" s="1"/>
  <c r="F318" i="3" a="1"/>
  <c r="F318" i="3" s="1"/>
  <c r="F319" i="3" a="1"/>
  <c r="F319" i="3" s="1"/>
  <c r="F320" i="3" a="1"/>
  <c r="F320" i="3"/>
  <c r="F321" i="3" a="1"/>
  <c r="F321" i="3" s="1"/>
  <c r="F322" i="3" a="1"/>
  <c r="F322" i="3" s="1"/>
  <c r="F323" i="3" a="1"/>
  <c r="F323" i="3" s="1"/>
  <c r="F324" i="3" a="1"/>
  <c r="F324" i="3" s="1"/>
  <c r="F325" i="3" a="1"/>
  <c r="F325" i="3" s="1"/>
  <c r="F326" i="3" a="1"/>
  <c r="F326" i="3"/>
  <c r="F327" i="3" a="1"/>
  <c r="F327" i="3"/>
  <c r="F328" i="3" a="1"/>
  <c r="F328" i="3" s="1"/>
  <c r="F329" i="3" a="1"/>
  <c r="F329" i="3" s="1"/>
  <c r="F330" i="3" a="1"/>
  <c r="F330" i="3" s="1"/>
  <c r="F331" i="3" a="1"/>
  <c r="F331" i="3" s="1"/>
  <c r="F332" i="3" a="1"/>
  <c r="F332" i="3"/>
  <c r="F333" i="3" a="1"/>
  <c r="F333" i="3" s="1"/>
  <c r="F334" i="3" a="1"/>
  <c r="F334" i="3"/>
  <c r="F335" i="3" a="1"/>
  <c r="F335" i="3" s="1"/>
  <c r="F336" i="3" a="1"/>
  <c r="F336" i="3" s="1"/>
  <c r="F337" i="3" a="1"/>
  <c r="F337" i="3" s="1"/>
  <c r="F338" i="3" a="1"/>
  <c r="F338" i="3" s="1"/>
  <c r="F339" i="3" a="1"/>
  <c r="F339" i="3" s="1"/>
  <c r="F340" i="3" a="1"/>
  <c r="F340" i="3" s="1"/>
  <c r="F341" i="3" a="1"/>
  <c r="F341" i="3" s="1"/>
  <c r="F342" i="3" a="1"/>
  <c r="F342" i="3" s="1"/>
  <c r="F343" i="3" a="1"/>
  <c r="F343" i="3" s="1"/>
  <c r="F344" i="3" a="1"/>
  <c r="F344" i="3" s="1"/>
  <c r="F345" i="3" a="1"/>
  <c r="F345" i="3" s="1"/>
  <c r="F346" i="3" a="1"/>
  <c r="F346" i="3"/>
  <c r="F347" i="3" a="1"/>
  <c r="F347" i="3" s="1"/>
  <c r="F348" i="3" a="1"/>
  <c r="F348" i="3" s="1"/>
  <c r="F349" i="3" a="1"/>
  <c r="F349" i="3" s="1"/>
  <c r="F350" i="3" a="1"/>
  <c r="F350" i="3" s="1"/>
  <c r="F351" i="3" a="1"/>
  <c r="F351" i="3" s="1"/>
  <c r="F352" i="3" a="1"/>
  <c r="F352" i="3"/>
  <c r="F353" i="3" a="1"/>
  <c r="F353" i="3" s="1"/>
  <c r="F354" i="3" a="1"/>
  <c r="F354" i="3" s="1"/>
  <c r="F355" i="3" a="1"/>
  <c r="F355" i="3" s="1"/>
  <c r="F356" i="3" a="1"/>
  <c r="F356" i="3"/>
  <c r="F357" i="3" a="1"/>
  <c r="F357" i="3" s="1"/>
  <c r="F358" i="3" a="1"/>
  <c r="F358" i="3" s="1"/>
  <c r="F359" i="3" a="1"/>
  <c r="F359" i="3" s="1"/>
  <c r="F360" i="3" a="1"/>
  <c r="F360" i="3" s="1"/>
  <c r="F361" i="3" a="1"/>
  <c r="F361" i="3" s="1"/>
  <c r="F362" i="3" a="1"/>
  <c r="F362" i="3" s="1"/>
  <c r="F363" i="3" a="1"/>
  <c r="F363" i="3" s="1"/>
  <c r="F364" i="3" a="1"/>
  <c r="F364" i="3" s="1"/>
  <c r="F365" i="3" a="1"/>
  <c r="F365" i="3" s="1"/>
  <c r="F366" i="3" a="1"/>
  <c r="F366" i="3" s="1"/>
  <c r="F367" i="3" a="1"/>
  <c r="F367" i="3" s="1"/>
  <c r="F368" i="3" a="1"/>
  <c r="F368" i="3" s="1"/>
  <c r="F369" i="3" a="1"/>
  <c r="F369" i="3" s="1"/>
  <c r="F370" i="3" a="1"/>
  <c r="F370" i="3" s="1"/>
  <c r="F371" i="3" a="1"/>
  <c r="F371" i="3" s="1"/>
  <c r="F372" i="3" a="1"/>
  <c r="F372" i="3" s="1"/>
  <c r="F373" i="3" a="1"/>
  <c r="F373" i="3" s="1"/>
  <c r="F374" i="3" a="1"/>
  <c r="F374" i="3"/>
  <c r="F375" i="3" a="1"/>
  <c r="F375" i="3"/>
  <c r="F376" i="3" a="1"/>
  <c r="F376" i="3"/>
  <c r="F377" i="3" a="1"/>
  <c r="F377" i="3" s="1"/>
  <c r="F378" i="3" a="1"/>
  <c r="F378" i="3" s="1"/>
  <c r="F379" i="3" a="1"/>
  <c r="F379" i="3" s="1"/>
  <c r="F380" i="3" a="1"/>
  <c r="F380" i="3"/>
  <c r="F381" i="3" a="1"/>
  <c r="F381" i="3" s="1"/>
  <c r="F382" i="3" a="1"/>
  <c r="F382" i="3"/>
  <c r="F383" i="3" a="1"/>
  <c r="F383" i="3" s="1"/>
  <c r="F384" i="3" a="1"/>
  <c r="F384" i="3" s="1"/>
  <c r="F385" i="3" a="1"/>
  <c r="F385" i="3" s="1"/>
  <c r="F386" i="3" a="1"/>
  <c r="F386" i="3" s="1"/>
  <c r="F387" i="3" a="1"/>
  <c r="F387" i="3" s="1"/>
  <c r="F388" i="3" a="1"/>
  <c r="F388" i="3" s="1"/>
  <c r="F389" i="3" a="1"/>
  <c r="F389" i="3" s="1"/>
  <c r="F390" i="3" a="1"/>
  <c r="F390" i="3" s="1"/>
  <c r="F391" i="3" a="1"/>
  <c r="F391" i="3" s="1"/>
  <c r="F392" i="3" a="1"/>
  <c r="F392" i="3"/>
  <c r="F393" i="3" a="1"/>
  <c r="F393" i="3" s="1"/>
  <c r="F394" i="3" a="1"/>
  <c r="F394" i="3"/>
  <c r="F395" i="3" a="1"/>
  <c r="F395" i="3" s="1"/>
  <c r="F396" i="3" a="1"/>
  <c r="F396" i="3" s="1"/>
  <c r="F397" i="3" a="1"/>
  <c r="F397" i="3" s="1"/>
  <c r="F398" i="3" a="1"/>
  <c r="F398" i="3" s="1"/>
  <c r="F399" i="3" a="1"/>
  <c r="F399" i="3" s="1"/>
  <c r="F400" i="3" a="1"/>
  <c r="F400" i="3" s="1"/>
  <c r="F401" i="3" a="1"/>
  <c r="F401" i="3" s="1"/>
  <c r="F402" i="3" a="1"/>
  <c r="F402" i="3" s="1"/>
  <c r="F403" i="3" a="1"/>
  <c r="F403" i="3" s="1"/>
  <c r="F404" i="3" a="1"/>
  <c r="F404" i="3"/>
  <c r="F405" i="3" a="1"/>
  <c r="F405" i="3" s="1"/>
  <c r="F406" i="3" a="1"/>
  <c r="F406" i="3" s="1"/>
  <c r="F407" i="3" a="1"/>
  <c r="F407" i="3" s="1"/>
  <c r="F408" i="3" a="1"/>
  <c r="F408" i="3" s="1"/>
  <c r="F409" i="3" a="1"/>
  <c r="F409" i="3" s="1"/>
  <c r="F410" i="3" a="1"/>
  <c r="F410" i="3" s="1"/>
  <c r="F411" i="3" a="1"/>
  <c r="F411" i="3" s="1"/>
  <c r="F412" i="3" a="1"/>
  <c r="F412" i="3" s="1"/>
  <c r="F413" i="3" a="1"/>
  <c r="F413" i="3" s="1"/>
  <c r="F414" i="3" a="1"/>
  <c r="F414" i="3" s="1"/>
  <c r="F415" i="3" a="1"/>
  <c r="F415" i="3" s="1"/>
  <c r="F416" i="3" a="1"/>
  <c r="F416" i="3" s="1"/>
  <c r="F417" i="3" a="1"/>
  <c r="F417" i="3" s="1"/>
  <c r="F418" i="3" a="1"/>
  <c r="F418" i="3" s="1"/>
  <c r="F419" i="3" a="1"/>
  <c r="F419" i="3" s="1"/>
  <c r="F420" i="3" a="1"/>
  <c r="F420" i="3" s="1"/>
  <c r="F421" i="3" a="1"/>
  <c r="F421" i="3" s="1"/>
  <c r="F422" i="3" a="1"/>
  <c r="F422" i="3"/>
  <c r="F423" i="3" a="1"/>
  <c r="F423" i="3" s="1"/>
  <c r="F424" i="3" a="1"/>
  <c r="F424" i="3" s="1"/>
  <c r="F425" i="3" a="1"/>
  <c r="F425" i="3" s="1"/>
  <c r="F426" i="3" a="1"/>
  <c r="F426" i="3" s="1"/>
  <c r="F427" i="3" a="1"/>
  <c r="F427" i="3" s="1"/>
  <c r="F428" i="3" a="1"/>
  <c r="F428" i="3"/>
  <c r="F429" i="3" a="1"/>
  <c r="F429" i="3" s="1"/>
  <c r="F430" i="3" a="1"/>
  <c r="F430" i="3" s="1"/>
  <c r="F431" i="3" a="1"/>
  <c r="F431" i="3" s="1"/>
  <c r="F432" i="3" a="1"/>
  <c r="F432" i="3" s="1"/>
  <c r="F433" i="3" a="1"/>
  <c r="F433" i="3" s="1"/>
  <c r="F434" i="3" a="1"/>
  <c r="F434" i="3" s="1"/>
  <c r="F435" i="3" a="1"/>
  <c r="F435" i="3" s="1"/>
  <c r="F436" i="3" a="1"/>
  <c r="F436" i="3" s="1"/>
  <c r="F437" i="3" a="1"/>
  <c r="F437" i="3" s="1"/>
  <c r="F438" i="3" a="1"/>
  <c r="F438" i="3" s="1"/>
  <c r="F439" i="3" a="1"/>
  <c r="F439" i="3" s="1"/>
  <c r="F440" i="3" a="1"/>
  <c r="F440" i="3" s="1"/>
  <c r="F441" i="3" a="1"/>
  <c r="F441" i="3" s="1"/>
  <c r="F442" i="3" a="1"/>
  <c r="F442" i="3"/>
  <c r="F443" i="3" a="1"/>
  <c r="F443" i="3" s="1"/>
  <c r="F444" i="3" a="1"/>
  <c r="F444" i="3" s="1"/>
  <c r="F445" i="3" a="1"/>
  <c r="F445" i="3" s="1"/>
  <c r="F446" i="3" a="1"/>
  <c r="F446" i="3" s="1"/>
  <c r="F447" i="3" a="1"/>
  <c r="F447" i="3" s="1"/>
  <c r="F448" i="3" a="1"/>
  <c r="F448" i="3" s="1"/>
  <c r="F449" i="3" a="1"/>
  <c r="F449" i="3" s="1"/>
  <c r="F450" i="3" a="1"/>
  <c r="F450" i="3" s="1"/>
  <c r="F451" i="3" a="1"/>
  <c r="F451" i="3" s="1"/>
  <c r="F452" i="3" a="1"/>
  <c r="F452" i="3"/>
  <c r="F453" i="3" a="1"/>
  <c r="F453" i="3" s="1"/>
  <c r="F454" i="3" a="1"/>
  <c r="F454" i="3" s="1"/>
  <c r="F455" i="3" a="1"/>
  <c r="F455" i="3" s="1"/>
  <c r="F456" i="3" a="1"/>
  <c r="F456" i="3" s="1"/>
  <c r="F457" i="3" a="1"/>
  <c r="F457" i="3" s="1"/>
  <c r="F458" i="3" a="1"/>
  <c r="F458" i="3" s="1"/>
  <c r="F459" i="3" a="1"/>
  <c r="F459" i="3" s="1"/>
  <c r="F460" i="3" a="1"/>
  <c r="F460" i="3" s="1"/>
  <c r="F461" i="3" a="1"/>
  <c r="F461" i="3" s="1"/>
  <c r="F462" i="3" a="1"/>
  <c r="F462" i="3" s="1"/>
  <c r="F463" i="3" a="1"/>
  <c r="F463" i="3" s="1"/>
  <c r="F464" i="3" a="1"/>
  <c r="F464" i="3" s="1"/>
  <c r="F465" i="3" a="1"/>
  <c r="F465" i="3" s="1"/>
  <c r="F466" i="3" a="1"/>
  <c r="F466" i="3"/>
  <c r="F467" i="3" a="1"/>
  <c r="F467" i="3" s="1"/>
  <c r="F468" i="3" a="1"/>
  <c r="F468" i="3" s="1"/>
  <c r="F469" i="3" a="1"/>
  <c r="F469" i="3" s="1"/>
  <c r="F470" i="3" a="1"/>
  <c r="F470" i="3"/>
  <c r="F471" i="3" a="1"/>
  <c r="F471" i="3"/>
  <c r="F472" i="3" a="1"/>
  <c r="F472" i="3" s="1"/>
  <c r="F473" i="3" a="1"/>
  <c r="F473" i="3" s="1"/>
  <c r="F474" i="3" a="1"/>
  <c r="F474" i="3" s="1"/>
  <c r="F475" i="3" a="1"/>
  <c r="F475" i="3" s="1"/>
  <c r="F476" i="3" a="1"/>
  <c r="F476" i="3" s="1"/>
  <c r="F477" i="3" a="1"/>
  <c r="F477" i="3" s="1"/>
  <c r="F478" i="3" a="1"/>
  <c r="F478" i="3" s="1"/>
  <c r="F479" i="3" a="1"/>
  <c r="F479" i="3" s="1"/>
  <c r="F480" i="3" a="1"/>
  <c r="F480" i="3" s="1"/>
  <c r="F481" i="3" a="1"/>
  <c r="F481" i="3" s="1"/>
  <c r="F482" i="3" a="1"/>
  <c r="F482" i="3" s="1"/>
  <c r="F483" i="3" a="1"/>
  <c r="F483" i="3" s="1"/>
  <c r="F484" i="3" a="1"/>
  <c r="F484" i="3" s="1"/>
  <c r="F485" i="3" a="1"/>
  <c r="F485" i="3" s="1"/>
  <c r="F486" i="3" a="1"/>
  <c r="F486" i="3" s="1"/>
  <c r="F487" i="3" a="1"/>
  <c r="F487" i="3" s="1"/>
  <c r="F488" i="3" a="1"/>
  <c r="F488" i="3"/>
  <c r="F489" i="3" a="1"/>
  <c r="F489" i="3" s="1"/>
  <c r="F490" i="3" a="1"/>
  <c r="F490" i="3"/>
  <c r="F491" i="3" a="1"/>
  <c r="F491" i="3" s="1"/>
  <c r="F492" i="3" a="1"/>
  <c r="F492" i="3" s="1"/>
  <c r="F493" i="3" a="1"/>
  <c r="F493" i="3" s="1"/>
  <c r="F494" i="3" a="1"/>
  <c r="F494" i="3" s="1"/>
  <c r="F495" i="3" a="1"/>
  <c r="F495" i="3" s="1"/>
  <c r="F496" i="3" a="1"/>
  <c r="F496" i="3"/>
  <c r="F497" i="3" a="1"/>
  <c r="F497" i="3" s="1"/>
  <c r="F498" i="3" a="1"/>
  <c r="F498" i="3" s="1"/>
  <c r="F499" i="3" a="1"/>
  <c r="F499" i="3" s="1"/>
  <c r="F500" i="3" a="1"/>
  <c r="F500" i="3"/>
  <c r="F501" i="3" a="1"/>
  <c r="F501"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<sst xmlns="http://schemas.openxmlformats.org/spreadsheetml/2006/main" count="5083" uniqueCount="544">
  <si>
    <t>ProductID</t>
  </si>
  <si>
    <t>ProductName</t>
  </si>
  <si>
    <t>QuantityInStock</t>
  </si>
  <si>
    <t>ReorderPoint</t>
  </si>
  <si>
    <t>Supplier</t>
  </si>
  <si>
    <t>SupplierContact</t>
  </si>
  <si>
    <t>LeadTime</t>
  </si>
  <si>
    <t>StorageLocation</t>
  </si>
  <si>
    <t>UnitCost</t>
  </si>
  <si>
    <t>P98420</t>
  </si>
  <si>
    <t>P70372</t>
  </si>
  <si>
    <t>P54851</t>
  </si>
  <si>
    <t>P89338</t>
  </si>
  <si>
    <t>P76449</t>
  </si>
  <si>
    <t>P43919</t>
  </si>
  <si>
    <t>P49408</t>
  </si>
  <si>
    <t>P89124</t>
  </si>
  <si>
    <t>P47947</t>
  </si>
  <si>
    <t>P35719</t>
  </si>
  <si>
    <t>P26057</t>
  </si>
  <si>
    <t>P62279</t>
  </si>
  <si>
    <t>P77428</t>
  </si>
  <si>
    <t>P86485</t>
  </si>
  <si>
    <t>P60361</t>
  </si>
  <si>
    <t>P65633</t>
  </si>
  <si>
    <t>P17585</t>
  </si>
  <si>
    <t>P71068</t>
  </si>
  <si>
    <t>P29554</t>
  </si>
  <si>
    <t>P99352</t>
  </si>
  <si>
    <t>P81659</t>
  </si>
  <si>
    <t>P78321</t>
  </si>
  <si>
    <t>P53762</t>
  </si>
  <si>
    <t>P57768</t>
  </si>
  <si>
    <t>P36411</t>
  </si>
  <si>
    <t>P50133</t>
  </si>
  <si>
    <t>P99281</t>
  </si>
  <si>
    <t>P69659</t>
  </si>
  <si>
    <t>P21237</t>
  </si>
  <si>
    <t>P20593</t>
  </si>
  <si>
    <t>P89248</t>
  </si>
  <si>
    <t>P72326</t>
  </si>
  <si>
    <t>P60678</t>
  </si>
  <si>
    <t>P82988</t>
  </si>
  <si>
    <t>P96720</t>
  </si>
  <si>
    <t>P81820</t>
  </si>
  <si>
    <t>P21469</t>
  </si>
  <si>
    <t>P98261</t>
  </si>
  <si>
    <t>P96491</t>
  </si>
  <si>
    <t>P53581</t>
  </si>
  <si>
    <t>P61869</t>
  </si>
  <si>
    <t>P13049</t>
  </si>
  <si>
    <t>P53476</t>
  </si>
  <si>
    <t>P21452</t>
  </si>
  <si>
    <t>P22282</t>
  </si>
  <si>
    <t>P90077</t>
  </si>
  <si>
    <t>P66075</t>
  </si>
  <si>
    <t>P28229</t>
  </si>
  <si>
    <t>P30189</t>
  </si>
  <si>
    <t>P40753</t>
  </si>
  <si>
    <t>P79024</t>
  </si>
  <si>
    <t>P64097</t>
  </si>
  <si>
    <t>P91290</t>
  </si>
  <si>
    <t>P89679</t>
  </si>
  <si>
    <t>P97579</t>
  </si>
  <si>
    <t>P86569</t>
  </si>
  <si>
    <t>P36228</t>
  </si>
  <si>
    <t>P59481</t>
  </si>
  <si>
    <t>P95465</t>
  </si>
  <si>
    <t>P15363</t>
  </si>
  <si>
    <t>P93982</t>
  </si>
  <si>
    <t>P89709</t>
  </si>
  <si>
    <t>P18377</t>
  </si>
  <si>
    <t>P63795</t>
  </si>
  <si>
    <t>P94159</t>
  </si>
  <si>
    <t>P80935</t>
  </si>
  <si>
    <t>P14492</t>
  </si>
  <si>
    <t>P90228</t>
  </si>
  <si>
    <t>P28816</t>
  </si>
  <si>
    <t>P42064</t>
  </si>
  <si>
    <t>P83338</t>
  </si>
  <si>
    <t>P23615</t>
  </si>
  <si>
    <t>P61681</t>
  </si>
  <si>
    <t>P77280</t>
  </si>
  <si>
    <t>P87710</t>
  </si>
  <si>
    <t>P51358</t>
  </si>
  <si>
    <t>P50938</t>
  </si>
  <si>
    <t>P61586</t>
  </si>
  <si>
    <t>P86149</t>
  </si>
  <si>
    <t>P99637</t>
  </si>
  <si>
    <t>P14743</t>
  </si>
  <si>
    <t>P83525</t>
  </si>
  <si>
    <t>P29383</t>
  </si>
  <si>
    <t>P99435</t>
  </si>
  <si>
    <t>P16521</t>
  </si>
  <si>
    <t>P76863</t>
  </si>
  <si>
    <t>P17914</t>
  </si>
  <si>
    <t>P85266</t>
  </si>
  <si>
    <t>P37819</t>
  </si>
  <si>
    <t>P74661</t>
  </si>
  <si>
    <t>P69562</t>
  </si>
  <si>
    <t>P55946</t>
  </si>
  <si>
    <t>P15639</t>
  </si>
  <si>
    <t>P50983</t>
  </si>
  <si>
    <t>P93086</t>
  </si>
  <si>
    <t>P14686</t>
  </si>
  <si>
    <t>P47358</t>
  </si>
  <si>
    <t>P37592</t>
  </si>
  <si>
    <t>P73701</t>
  </si>
  <si>
    <t>P24111</t>
  </si>
  <si>
    <t>P66581</t>
  </si>
  <si>
    <t>P55379</t>
  </si>
  <si>
    <t>P12102</t>
  </si>
  <si>
    <t>P42098</t>
  </si>
  <si>
    <t>P39669</t>
  </si>
  <si>
    <t>P19114</t>
  </si>
  <si>
    <t>P98289</t>
  </si>
  <si>
    <t>P91786</t>
  </si>
  <si>
    <t>P53506</t>
  </si>
  <si>
    <t>P98350</t>
  </si>
  <si>
    <t>P22357</t>
  </si>
  <si>
    <t>P51338</t>
  </si>
  <si>
    <t>P19078</t>
  </si>
  <si>
    <t>P33839</t>
  </si>
  <si>
    <t>P50895</t>
  </si>
  <si>
    <t>P10068</t>
  </si>
  <si>
    <t>P27939</t>
  </si>
  <si>
    <t>P57921</t>
  </si>
  <si>
    <t>P65630</t>
  </si>
  <si>
    <t>P36001</t>
  </si>
  <si>
    <t>P27815</t>
  </si>
  <si>
    <t>P46132</t>
  </si>
  <si>
    <t>P70743</t>
  </si>
  <si>
    <t>P63170</t>
  </si>
  <si>
    <t>P88723</t>
  </si>
  <si>
    <t>P84803</t>
  </si>
  <si>
    <t>P11146</t>
  </si>
  <si>
    <t>P96823</t>
  </si>
  <si>
    <t>P97323</t>
  </si>
  <si>
    <t>P55271</t>
  </si>
  <si>
    <t>P93459</t>
  </si>
  <si>
    <t>P26184</t>
  </si>
  <si>
    <t>P19396</t>
  </si>
  <si>
    <t>P24625</t>
  </si>
  <si>
    <t>P97658</t>
  </si>
  <si>
    <t>P58962</t>
  </si>
  <si>
    <t>P11634</t>
  </si>
  <si>
    <t>P13694</t>
  </si>
  <si>
    <t>P24284</t>
  </si>
  <si>
    <t>P86691</t>
  </si>
  <si>
    <t>P10317</t>
  </si>
  <si>
    <t>P55359</t>
  </si>
  <si>
    <t>P12822</t>
  </si>
  <si>
    <t>P30386</t>
  </si>
  <si>
    <t>P60442</t>
  </si>
  <si>
    <t>P18012</t>
  </si>
  <si>
    <t>P33125</t>
  </si>
  <si>
    <t>P66338</t>
  </si>
  <si>
    <t>P74881</t>
  </si>
  <si>
    <t>P68854</t>
  </si>
  <si>
    <t>P12805</t>
  </si>
  <si>
    <t>P68890</t>
  </si>
  <si>
    <t>P55573</t>
  </si>
  <si>
    <t>P28941</t>
  </si>
  <si>
    <t>P74048</t>
  </si>
  <si>
    <t>P21837</t>
  </si>
  <si>
    <t>P95262</t>
  </si>
  <si>
    <t>P46566</t>
  </si>
  <si>
    <t>P18575</t>
  </si>
  <si>
    <t>P27056</t>
  </si>
  <si>
    <t>P38066</t>
  </si>
  <si>
    <t>P50748</t>
  </si>
  <si>
    <t>P73854</t>
  </si>
  <si>
    <t>P59539</t>
  </si>
  <si>
    <t>P55993</t>
  </si>
  <si>
    <t>P68807</t>
  </si>
  <si>
    <t>P92524</t>
  </si>
  <si>
    <t>P75730</t>
  </si>
  <si>
    <t>P15958</t>
  </si>
  <si>
    <t>P94619</t>
  </si>
  <si>
    <t>P76573</t>
  </si>
  <si>
    <t>P47220</t>
  </si>
  <si>
    <t>P15172</t>
  </si>
  <si>
    <t>P36437</t>
  </si>
  <si>
    <t>P42339</t>
  </si>
  <si>
    <t>P38296</t>
  </si>
  <si>
    <t>P85297</t>
  </si>
  <si>
    <t>P17348</t>
  </si>
  <si>
    <t>P87759</t>
  </si>
  <si>
    <t>P95243</t>
  </si>
  <si>
    <t>P78852</t>
  </si>
  <si>
    <t>P30445</t>
  </si>
  <si>
    <t>P61382</t>
  </si>
  <si>
    <t>P62508</t>
  </si>
  <si>
    <t>P96499</t>
  </si>
  <si>
    <t>P95434</t>
  </si>
  <si>
    <t>P56160</t>
  </si>
  <si>
    <t>P98900</t>
  </si>
  <si>
    <t>P41511</t>
  </si>
  <si>
    <t>P33102</t>
  </si>
  <si>
    <t>P36089</t>
  </si>
  <si>
    <t>P15486</t>
  </si>
  <si>
    <t>P96416</t>
  </si>
  <si>
    <t>P94252</t>
  </si>
  <si>
    <t>P27449</t>
  </si>
  <si>
    <t>P25365</t>
  </si>
  <si>
    <t>P76322</t>
  </si>
  <si>
    <t>P98377</t>
  </si>
  <si>
    <t>P19724</t>
  </si>
  <si>
    <t>P81367</t>
  </si>
  <si>
    <t>P24953</t>
  </si>
  <si>
    <t>P90536</t>
  </si>
  <si>
    <t>P88190</t>
  </si>
  <si>
    <t>P98352</t>
  </si>
  <si>
    <t>P88713</t>
  </si>
  <si>
    <t>P72312</t>
  </si>
  <si>
    <t>P29788</t>
  </si>
  <si>
    <t>P15158</t>
  </si>
  <si>
    <t>P28444</t>
  </si>
  <si>
    <t>P11106</t>
  </si>
  <si>
    <t>P82832</t>
  </si>
  <si>
    <t>P52198</t>
  </si>
  <si>
    <t>P43155</t>
  </si>
  <si>
    <t>P88490</t>
  </si>
  <si>
    <t>P62623</t>
  </si>
  <si>
    <t>P94534</t>
  </si>
  <si>
    <t>P45431</t>
  </si>
  <si>
    <t>P84317</t>
  </si>
  <si>
    <t>P86050</t>
  </si>
  <si>
    <t>P53962</t>
  </si>
  <si>
    <t>P63244</t>
  </si>
  <si>
    <t>P89769</t>
  </si>
  <si>
    <t>P40712</t>
  </si>
  <si>
    <t>P49626</t>
  </si>
  <si>
    <t>P76119</t>
  </si>
  <si>
    <t>P83188</t>
  </si>
  <si>
    <t>P65949</t>
  </si>
  <si>
    <t>P48032</t>
  </si>
  <si>
    <t>P34624</t>
  </si>
  <si>
    <t>P90515</t>
  </si>
  <si>
    <t>P87946</t>
  </si>
  <si>
    <t>P67685</t>
  </si>
  <si>
    <t>P81701</t>
  </si>
  <si>
    <t>P51313</t>
  </si>
  <si>
    <t>P20201</t>
  </si>
  <si>
    <t>P42764</t>
  </si>
  <si>
    <t>P24215</t>
  </si>
  <si>
    <t>P77441</t>
  </si>
  <si>
    <t>P83765</t>
  </si>
  <si>
    <t>P45950</t>
  </si>
  <si>
    <t>P44982</t>
  </si>
  <si>
    <t>P93320</t>
  </si>
  <si>
    <t>P26011</t>
  </si>
  <si>
    <t>P84518</t>
  </si>
  <si>
    <t>P65254</t>
  </si>
  <si>
    <t>P88164</t>
  </si>
  <si>
    <t>P83690</t>
  </si>
  <si>
    <t>P30093</t>
  </si>
  <si>
    <t>P48697</t>
  </si>
  <si>
    <t>P39242</t>
  </si>
  <si>
    <t>P36099</t>
  </si>
  <si>
    <t>P22765</t>
  </si>
  <si>
    <t>P12921</t>
  </si>
  <si>
    <t>P48568</t>
  </si>
  <si>
    <t>P92241</t>
  </si>
  <si>
    <t>P15267</t>
  </si>
  <si>
    <t>P10033</t>
  </si>
  <si>
    <t>P30703</t>
  </si>
  <si>
    <t>P19895</t>
  </si>
  <si>
    <t>P81493</t>
  </si>
  <si>
    <t>P53197</t>
  </si>
  <si>
    <t>P31415</t>
  </si>
  <si>
    <t>P49081</t>
  </si>
  <si>
    <t>P72372</t>
  </si>
  <si>
    <t>P62512</t>
  </si>
  <si>
    <t>P91587</t>
  </si>
  <si>
    <t>P38209</t>
  </si>
  <si>
    <t>P92342</t>
  </si>
  <si>
    <t>P71381</t>
  </si>
  <si>
    <t>P32116</t>
  </si>
  <si>
    <t>P46384</t>
  </si>
  <si>
    <t>P43321</t>
  </si>
  <si>
    <t>P54593</t>
  </si>
  <si>
    <t>P50154</t>
  </si>
  <si>
    <t>P92355</t>
  </si>
  <si>
    <t>P10151</t>
  </si>
  <si>
    <t>P53270</t>
  </si>
  <si>
    <t>P81815</t>
  </si>
  <si>
    <t>P60725</t>
  </si>
  <si>
    <t>P38737</t>
  </si>
  <si>
    <t>P60732</t>
  </si>
  <si>
    <t>P42012</t>
  </si>
  <si>
    <t>P90590</t>
  </si>
  <si>
    <t>P61234</t>
  </si>
  <si>
    <t>P54928</t>
  </si>
  <si>
    <t>P51227</t>
  </si>
  <si>
    <t>P51951</t>
  </si>
  <si>
    <t>P52133</t>
  </si>
  <si>
    <t>P89046</t>
  </si>
  <si>
    <t>P11964</t>
  </si>
  <si>
    <t>P99070</t>
  </si>
  <si>
    <t>P75593</t>
  </si>
  <si>
    <t>P93051</t>
  </si>
  <si>
    <t>P55481</t>
  </si>
  <si>
    <t>P70755</t>
  </si>
  <si>
    <t>P17694</t>
  </si>
  <si>
    <t>P23051</t>
  </si>
  <si>
    <t>P18983</t>
  </si>
  <si>
    <t>P53340</t>
  </si>
  <si>
    <t>P21967</t>
  </si>
  <si>
    <t>P75535</t>
  </si>
  <si>
    <t>P58587</t>
  </si>
  <si>
    <t>P54665</t>
  </si>
  <si>
    <t>P89326</t>
  </si>
  <si>
    <t>P94306</t>
  </si>
  <si>
    <t>P74136</t>
  </si>
  <si>
    <t>P19622</t>
  </si>
  <si>
    <t>P91269</t>
  </si>
  <si>
    <t>P97427</t>
  </si>
  <si>
    <t>P81811</t>
  </si>
  <si>
    <t>P88340</t>
  </si>
  <si>
    <t>P53573</t>
  </si>
  <si>
    <t>P69142</t>
  </si>
  <si>
    <t>P53154</t>
  </si>
  <si>
    <t>P56159</t>
  </si>
  <si>
    <t>P87175</t>
  </si>
  <si>
    <t>P95235</t>
  </si>
  <si>
    <t>P25309</t>
  </si>
  <si>
    <t>P26699</t>
  </si>
  <si>
    <t>P36617</t>
  </si>
  <si>
    <t>P50875</t>
  </si>
  <si>
    <t>P36962</t>
  </si>
  <si>
    <t>P31938</t>
  </si>
  <si>
    <t>P70967</t>
  </si>
  <si>
    <t>P93014</t>
  </si>
  <si>
    <t>P78255</t>
  </si>
  <si>
    <t>P74004</t>
  </si>
  <si>
    <t>P66696</t>
  </si>
  <si>
    <t>P42630</t>
  </si>
  <si>
    <t>P62969</t>
  </si>
  <si>
    <t>P76095</t>
  </si>
  <si>
    <t>P81902</t>
  </si>
  <si>
    <t>P18361</t>
  </si>
  <si>
    <t>P41325</t>
  </si>
  <si>
    <t>P52117</t>
  </si>
  <si>
    <t>P56750</t>
  </si>
  <si>
    <t>P61220</t>
  </si>
  <si>
    <t>P90552</t>
  </si>
  <si>
    <t>P42422</t>
  </si>
  <si>
    <t>P74719</t>
  </si>
  <si>
    <t>P11499</t>
  </si>
  <si>
    <t>P57241</t>
  </si>
  <si>
    <t>P64035</t>
  </si>
  <si>
    <t>P39228</t>
  </si>
  <si>
    <t>P82659</t>
  </si>
  <si>
    <t>P99689</t>
  </si>
  <si>
    <t>P20266</t>
  </si>
  <si>
    <t>P76317</t>
  </si>
  <si>
    <t>P72647</t>
  </si>
  <si>
    <t>P28827</t>
  </si>
  <si>
    <t>P41733</t>
  </si>
  <si>
    <t>P24172</t>
  </si>
  <si>
    <t>P59517</t>
  </si>
  <si>
    <t>P70806</t>
  </si>
  <si>
    <t>P61019</t>
  </si>
  <si>
    <t>P64724</t>
  </si>
  <si>
    <t>P69729</t>
  </si>
  <si>
    <t>P43944</t>
  </si>
  <si>
    <t>P10605</t>
  </si>
  <si>
    <t>P65681</t>
  </si>
  <si>
    <t>P71902</t>
  </si>
  <si>
    <t>P35582</t>
  </si>
  <si>
    <t>P45427</t>
  </si>
  <si>
    <t>P44744</t>
  </si>
  <si>
    <t>P17363</t>
  </si>
  <si>
    <t>P76950</t>
  </si>
  <si>
    <t>P46851</t>
  </si>
  <si>
    <t>P68592</t>
  </si>
  <si>
    <t>P73943</t>
  </si>
  <si>
    <t>P88285</t>
  </si>
  <si>
    <t>P35177</t>
  </si>
  <si>
    <t>P96085</t>
  </si>
  <si>
    <t>P62647</t>
  </si>
  <si>
    <t>P74075</t>
  </si>
  <si>
    <t>P40699</t>
  </si>
  <si>
    <t>P51535</t>
  </si>
  <si>
    <t>P85952</t>
  </si>
  <si>
    <t>P52181</t>
  </si>
  <si>
    <t>P49223</t>
  </si>
  <si>
    <t>P33041</t>
  </si>
  <si>
    <t>P19774</t>
  </si>
  <si>
    <t>P50087</t>
  </si>
  <si>
    <t>P17253</t>
  </si>
  <si>
    <t>P59489</t>
  </si>
  <si>
    <t>P47924</t>
  </si>
  <si>
    <t>P25430</t>
  </si>
  <si>
    <t>P21384</t>
  </si>
  <si>
    <t>P28789</t>
  </si>
  <si>
    <t>P34425</t>
  </si>
  <si>
    <t>P37055</t>
  </si>
  <si>
    <t>P79740</t>
  </si>
  <si>
    <t>P99821</t>
  </si>
  <si>
    <t>P31299</t>
  </si>
  <si>
    <t>P73596</t>
  </si>
  <si>
    <t>P28623</t>
  </si>
  <si>
    <t>P93598</t>
  </si>
  <si>
    <t>P35742</t>
  </si>
  <si>
    <t>P71416</t>
  </si>
  <si>
    <t>P94901</t>
  </si>
  <si>
    <t>P20634</t>
  </si>
  <si>
    <t>P27561</t>
  </si>
  <si>
    <t>P69318</t>
  </si>
  <si>
    <t>P28418</t>
  </si>
  <si>
    <t>P54746</t>
  </si>
  <si>
    <t>P90523</t>
  </si>
  <si>
    <t>P85076</t>
  </si>
  <si>
    <t>P91486</t>
  </si>
  <si>
    <t>P31274</t>
  </si>
  <si>
    <t>P35025</t>
  </si>
  <si>
    <t>P79704</t>
  </si>
  <si>
    <t>P23975</t>
  </si>
  <si>
    <t>P84276</t>
  </si>
  <si>
    <t>P56541</t>
  </si>
  <si>
    <t>P32595</t>
  </si>
  <si>
    <t>P83511</t>
  </si>
  <si>
    <t>P76524</t>
  </si>
  <si>
    <t>P74344</t>
  </si>
  <si>
    <t>P38471</t>
  </si>
  <si>
    <t>P49378</t>
  </si>
  <si>
    <t>P44309</t>
  </si>
  <si>
    <t>P78170</t>
  </si>
  <si>
    <t>P38940</t>
  </si>
  <si>
    <t>P53210</t>
  </si>
  <si>
    <t>P63507</t>
  </si>
  <si>
    <t>P28571</t>
  </si>
  <si>
    <t>P22687</t>
  </si>
  <si>
    <t>P41142</t>
  </si>
  <si>
    <t>P31670</t>
  </si>
  <si>
    <t>P81888</t>
  </si>
  <si>
    <t>P36077</t>
  </si>
  <si>
    <t>P59935</t>
  </si>
  <si>
    <t>P45647</t>
  </si>
  <si>
    <t>P82285</t>
  </si>
  <si>
    <t>P68793</t>
  </si>
  <si>
    <t>P77804</t>
  </si>
  <si>
    <t>P31932</t>
  </si>
  <si>
    <t>P45183</t>
  </si>
  <si>
    <t>P63200</t>
  </si>
  <si>
    <t>P96075</t>
  </si>
  <si>
    <t>P26158</t>
  </si>
  <si>
    <t>P96306</t>
  </si>
  <si>
    <t>P13341</t>
  </si>
  <si>
    <t>P27265</t>
  </si>
  <si>
    <t>P52393</t>
  </si>
  <si>
    <t>P77616</t>
  </si>
  <si>
    <t>P98302</t>
  </si>
  <si>
    <t>P22089</t>
  </si>
  <si>
    <t>P38229</t>
  </si>
  <si>
    <t>P75961</t>
  </si>
  <si>
    <t>P53867</t>
  </si>
  <si>
    <t>P73097</t>
  </si>
  <si>
    <t>P95990</t>
  </si>
  <si>
    <t>P46348</t>
  </si>
  <si>
    <t>P28664</t>
  </si>
  <si>
    <t>P54983</t>
  </si>
  <si>
    <t>P32617</t>
  </si>
  <si>
    <t>P27192</t>
  </si>
  <si>
    <t>P20294</t>
  </si>
  <si>
    <t>P24029</t>
  </si>
  <si>
    <t>P82334</t>
  </si>
  <si>
    <t>P26345</t>
  </si>
  <si>
    <t>P79895</t>
  </si>
  <si>
    <t>P21813</t>
  </si>
  <si>
    <t>P41559</t>
  </si>
  <si>
    <t>P15109</t>
  </si>
  <si>
    <t>P15948</t>
  </si>
  <si>
    <t>P16168</t>
  </si>
  <si>
    <t>P29123</t>
  </si>
  <si>
    <t>P45769</t>
  </si>
  <si>
    <t>P48138</t>
  </si>
  <si>
    <t>P14527</t>
  </si>
  <si>
    <t>P92040</t>
  </si>
  <si>
    <t>P61657</t>
  </si>
  <si>
    <t>P41681</t>
  </si>
  <si>
    <t>P23366</t>
  </si>
  <si>
    <t>P76692</t>
  </si>
  <si>
    <t>P81800</t>
  </si>
  <si>
    <t>P14427</t>
  </si>
  <si>
    <t>P36445</t>
  </si>
  <si>
    <t>P57789</t>
  </si>
  <si>
    <t>P79254</t>
  </si>
  <si>
    <t>P74968</t>
  </si>
  <si>
    <t>P53255</t>
  </si>
  <si>
    <t>P41997</t>
  </si>
  <si>
    <t>P73771</t>
  </si>
  <si>
    <t>P84492</t>
  </si>
  <si>
    <t>P17238</t>
  </si>
  <si>
    <t>P48056</t>
  </si>
  <si>
    <t>P21308</t>
  </si>
  <si>
    <t>P91909</t>
  </si>
  <si>
    <t>P35915</t>
  </si>
  <si>
    <t>P18451</t>
  </si>
  <si>
    <t>P60419</t>
  </si>
  <si>
    <t>P69171</t>
  </si>
  <si>
    <t>P84649</t>
  </si>
  <si>
    <t>P61528</t>
  </si>
  <si>
    <t>P25204</t>
  </si>
  <si>
    <t>P11509</t>
  </si>
  <si>
    <t>P76776</t>
  </si>
  <si>
    <t>P19859</t>
  </si>
  <si>
    <t>Monitor</t>
  </si>
  <si>
    <t>Laptop</t>
  </si>
  <si>
    <t>Tablet</t>
  </si>
  <si>
    <t>Chair</t>
  </si>
  <si>
    <t>Printer</t>
  </si>
  <si>
    <t>Desk</t>
  </si>
  <si>
    <t>Phone</t>
  </si>
  <si>
    <t>Global Parts</t>
  </si>
  <si>
    <t>SupplyCo</t>
  </si>
  <si>
    <t>DirectGoods</t>
  </si>
  <si>
    <t>WarePlus</t>
  </si>
  <si>
    <t>global parts@example.com</t>
  </si>
  <si>
    <t>supplyco@example.com</t>
  </si>
  <si>
    <t>directgoods@example.com</t>
  </si>
  <si>
    <t>wareplus@example.com</t>
  </si>
  <si>
    <t>WH-5</t>
  </si>
  <si>
    <t>WH-4</t>
  </si>
  <si>
    <t>WH-2</t>
  </si>
  <si>
    <t>WH-3</t>
  </si>
  <si>
    <t>WH-1</t>
  </si>
  <si>
    <t>stock status</t>
  </si>
  <si>
    <t>Row Labels</t>
  </si>
  <si>
    <t>Adequate Stock</t>
  </si>
  <si>
    <t>Low Stock</t>
  </si>
  <si>
    <t>Count of stock status</t>
  </si>
  <si>
    <t>Inventory Analysis</t>
  </si>
  <si>
    <t>Inventory value</t>
  </si>
  <si>
    <t>Product name</t>
  </si>
  <si>
    <t>Category</t>
  </si>
  <si>
    <t>Electronics</t>
  </si>
  <si>
    <t>Furniture</t>
  </si>
  <si>
    <t>Sum of Inventory value</t>
  </si>
  <si>
    <t>Count of ProductID</t>
  </si>
  <si>
    <t>Average of LeadTime</t>
  </si>
  <si>
    <t>Sum of QuantityInStock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</si>
</sst>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20"/>
      <color theme="1"/>
      <name val="Calibri"/>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7" tint="0.79998168889431442"/>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diagonal/>
    </border>
  </borders>
  <cellStyleXfs count="1">
    <xf numFmtId="0" fontId="0" fillId="0" borderId="0"/>
  </cellStyleXfs>
  <cellXfs count="12">
    <xf numFmtId="0" fontId="0" fillId="0" borderId="0" xfId="0"/>
    <xf numFmtId="0" fontId="1" fillId="0" borderId="2" xfId="0" applyFont="1" applyBorder="1" applyAlignment="1">
      <alignment horizontal="center" vertical="top"/>
    </xf>
    <xf numFmtId="0" fontId="0" fillId="0" borderId="1" xfId="0" applyBorder="1" applyAlignment="1">
      <alignment horizontal="center"/>
    </xf>
    <xf numFmtId="0" fontId="0" fillId="0" borderId="0" xfId="0" pivotButton="1"/>
    <xf numFmtId="0" fontId="0" fillId="0" borderId="0" xfId="0" applyAlignment="1">
      <alignment horizontal="left"/>
    </xf>
    <xf numFmtId="0" fontId="0" fillId="3" borderId="0" xfId="0" applyFill="1"/>
    <xf numFmtId="0" fontId="0" fillId="0" borderId="2" xfId="0" applyBorder="1" applyAlignment="1">
      <alignment horizontal="center"/>
    </xf>
    <xf numFmtId="0" fontId="0" fillId="0" borderId="6" xfId="0"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0" fillId="0" borderId="0" xfId="0" applyNumberFormat="1"/>
  </cellXfs>
  <cellStyles count="1">
    <cellStyle name="Normal" xfId="0" builtinId="0"/>
  </cellStyles>
  <dxfs count="29">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[Inventory-Tracking.xlsx]stock details!PivotTable1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stock</a:t>
            </a:r>
            <a:r>
              <a:rPr lang="en-IN" baseline="0"/>
              <a:t>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4166666666666677"/>
              <c:y val="-0.2546296296296297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8.8888888888888837E-2"/>
              <c:y val="0.1574074074074074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'stock details'!$B$3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3B5-4317-AADC-F9B57ADAE0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B5-4317-AADC-F9B57ADAE068}"/>
              </c:ext>
            </c:extLst>
          </c:dPt>
          <c:dLbls>
            <c:dLbl>
              <c:idx val="0"/>
              <c:layout>
                <c:manualLayout>
                  <c:x val="-0.14166666666666677"/>
                  <c:y val="-0.2546296296296297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3B5-4317-AADC-F9B57ADAE068}"/>
                </c:ext>
              </c:extLst>
            </c:dLbl>
            <c:dLbl>
              <c:idx val="1"/>
              <c:layout>
                <c:manualLayout>
                  <c:x val="8.8888888888888837E-2"/>
                  <c:y val="0.1574074074074074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3B5-4317-AADC-F9B57ADAE068}"/>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'stock details'!$A$4:$A$5</c:f>
              <c:strCache>
                <c:ptCount val="2"/>
                <c:pt idx="0">
                  <c:v>Adequate Stock</c:v>
                </c:pt>
                <c:pt idx="1">
                  <c:v>Low Stock</c:v>
                </c:pt>
              </c:strCache>
            </c:strRef>
          </c:cat>
          <c:val>
            <c:numRef>
              <c:f>'stock details'!$B$4:$B$5</c:f>
              <c:numCache>
                <c:formatCode>General</c:formatCode>
                <c:ptCount val="2"/>
                <c:pt idx="0">
                  <c:v>433</c:v>
                </c:pt>
                <c:pt idx="1">
                  <c:v>67</c:v>
                </c:pt>
              </c:numCache>
            </c:numRef>
          </c:val>
          <c:extLst>
            <c:ext xmlns:c16="http://schemas.microsoft.com/office/drawing/2014/chart" uri="{C3380CC4-5D6E-409C-BE32-E72D297353CC}">
              <c16:uniqueId val="{00000000-13B5-4317-AADC-F9B57ADAE06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[Inventory-Tracking.xlsx]stock details!PivotTable1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stock</a:t>
            </a:r>
            <a:r>
              <a:rPr lang="en-IN" baseline="0"/>
              <a:t>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4166666666666677"/>
              <c:y val="-0.2546296296296297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8.8888888888888837E-2"/>
              <c:y val="0.1574074074074074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4166666666666677"/>
              <c:y val="-0.2546296296296297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8.8888888888888837E-2"/>
              <c:y val="0.1574074074074074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4166666666666677"/>
              <c:y val="-0.2546296296296297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8.8888888888888837E-2"/>
              <c:y val="0.1574074074074074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4166666666666677"/>
              <c:y val="-0.2546296296296297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8.8888888888888837E-2"/>
              <c:y val="0.1574074074074074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4597346843272505"/>
              <c:y val="-0.1977466340598211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4056847545219633"/>
              <c:y val="0.1574073078749115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'stock details'!$B$3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E8-4DB0-A4FF-A3D6C89D47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E8-4DB0-A4FF-A3D6C89D4783}"/>
              </c:ext>
            </c:extLst>
          </c:dPt>
          <c:dLbls>
            <c:dLbl>
              <c:idx val="0"/>
              <c:layout>
                <c:manualLayout>
                  <c:x val="-0.14597346843272505"/>
                  <c:y val="-0.1977466340598211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5E8-4DB0-A4FF-A3D6C89D4783}"/>
                </c:ext>
              </c:extLst>
            </c:dLbl>
            <c:dLbl>
              <c:idx val="1"/>
              <c:layout>
                <c:manualLayout>
                  <c:x val="0.14056847545219633"/>
                  <c:y val="0.1574073078749115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5E8-4DB0-A4FF-A3D6C89D4783}"/>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'stock details'!$A$4:$A$5</c:f>
              <c:strCache>
                <c:ptCount val="2"/>
                <c:pt idx="0">
                  <c:v>Adequate Stock</c:v>
                </c:pt>
                <c:pt idx="1">
                  <c:v>Low Stock</c:v>
                </c:pt>
              </c:strCache>
            </c:strRef>
          </c:cat>
          <c:val>
            <c:numRef>
              <c:f>'stock details'!$B$4:$B$5</c:f>
              <c:numCache>
                <c:formatCode>General</c:formatCode>
                <c:ptCount val="2"/>
                <c:pt idx="0">
                  <c:v>433</c:v>
                </c:pt>
                <c:pt idx="1">
                  <c:v>67</c:v>
                </c:pt>
              </c:numCache>
            </c:numRef>
          </c:val>
          <c:extLst>
            <c:ext xmlns:c16="http://schemas.microsoft.com/office/drawing/2014/chart" uri="{C3380CC4-5D6E-409C-BE32-E72D297353CC}">
              <c16:uniqueId val="{00000004-A5E8-4DB0-A4FF-A3D6C89D478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[Inventory-Tracking.xlsx]inventory value!PivotTable2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a:t>
            </a:r>
            <a:r>
              <a:rPr lang="en-US" baseline="0"/>
              <a:t> value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 value'!$B$3</c:f>
              <c:strCache>
                <c:ptCount val="1"/>
                <c:pt idx="0">
                  <c:v>Total</c:v>
                </c:pt>
              </c:strCache>
            </c:strRef>
          </c:tx>
          <c:spPr>
            <a:solidFill>
              <a:schemeClr val="accent1"/>
            </a:solidFill>
            <a:ln>
              <a:noFill/>
            </a:ln>
            <a:effectLst/>
          </c:spPr>
          <c:invertIfNegative val="0"/>
          <c:cat>
            <c:strRef>
              <c:f>'inventory value'!$A$4:$A$5</c:f>
              <c:strCache>
                <c:ptCount val="2"/>
                <c:pt idx="0">
                  <c:v>Electronics</c:v>
                </c:pt>
                <c:pt idx="1">
                  <c:v>Furniture</c:v>
                </c:pt>
              </c:strCache>
            </c:strRef>
          </c:cat>
          <c:val>
            <c:numRef>
              <c:f>'inventory value'!$B$4:$B$5</c:f>
              <c:numCache>
                <c:formatCode>General</c:formatCode>
                <c:ptCount val="2"/>
                <c:pt idx="0">
                  <c:v>9218418.0699999966</c:v>
                </c:pt>
                <c:pt idx="1">
                  <c:v>3620522.6600000015</c:v>
                </c:pt>
              </c:numCache>
            </c:numRef>
          </c:val>
          <c:extLst>
            <c:ext xmlns:c16="http://schemas.microsoft.com/office/drawing/2014/chart" uri="{C3380CC4-5D6E-409C-BE32-E72D297353CC}">
              <c16:uniqueId val="{00000000-D47C-4FFE-B40D-F904CF31C3C8}"/>
            </c:ext>
          </c:extLst>
        </c:ser>
        <c:dLbls>
          <c:showLegendKey val="0"/>
          <c:showVal val="0"/>
          <c:showCatName val="0"/>
          <c:showSerName val="0"/>
          <c:showPercent val="0"/>
          <c:showBubbleSize val="0"/>
        </c:dLbls>
        <c:gapWidth val="219"/>
        <c:overlap val="-27"/>
        <c:axId val="1307420016"/>
        <c:axId val="1300009104"/>
      </c:barChart>
      <c:catAx>
        <c:axId val="130742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009104"/>
        <c:crosses val="autoZero"/>
        <c:auto val="1"/>
        <c:lblAlgn val="ctr"/>
        <c:lblOffset val="100"/>
        <c:noMultiLvlLbl val="0"/>
      </c:catAx>
      <c:valAx>
        <c:axId val="1300009104"/>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42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[Inventory-Tracking.xlsx]inv_by_product!PivotTable3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a:t>
            </a:r>
            <a:r>
              <a:rPr lang="en-US" baseline="0"/>
              <a:t> value by product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95647419072616"/>
          <c:y val="0.14856481481481484"/>
          <c:w val="0.80015463692038491"/>
          <c:h val="0.72088764946048411"/>
        </c:manualLayout>
      </c:layout>
      <c:barChart>
        <c:barDir val="bar"/>
        <c:grouping val="clustered"/>
        <c:varyColors val="0"/>
        <c:ser>
          <c:idx val="0"/>
          <c:order val="0"/>
          <c:tx>
            <c:strRef>
              <c:f>inv_by_product!$B$3</c:f>
              <c:strCache>
                <c:ptCount val="1"/>
                <c:pt idx="0">
                  <c:v>Total</c:v>
                </c:pt>
              </c:strCache>
            </c:strRef>
          </c:tx>
          <c:spPr>
            <a:solidFill>
              <a:schemeClr val="accent1"/>
            </a:solidFill>
            <a:ln>
              <a:noFill/>
            </a:ln>
            <a:effectLst/>
          </c:spPr>
          <c:invertIfNegative val="0"/>
          <c:cat>
            <c:strRef>
              <c:f>inv_by_product!$A$4:$A$10</c:f>
              <c:strCache>
                <c:ptCount val="7"/>
                <c:pt idx="0">
                  <c:v>Chair</c:v>
                </c:pt>
                <c:pt idx="1">
                  <c:v>Desk</c:v>
                </c:pt>
                <c:pt idx="2">
                  <c:v>Laptop</c:v>
                </c:pt>
                <c:pt idx="3">
                  <c:v>Monitor</c:v>
                </c:pt>
                <c:pt idx="4">
                  <c:v>Phone</c:v>
                </c:pt>
                <c:pt idx="5">
                  <c:v>Printer</c:v>
                </c:pt>
                <c:pt idx="6">
                  <c:v>Tablet</c:v>
                </c:pt>
              </c:strCache>
            </c:strRef>
          </c:cat>
          <c:val>
            <c:numRef>
              <c:f>inv_by_product!$B$4:$B$10</c:f>
              <c:numCache>
                <c:formatCode>General</c:formatCode>
                <c:ptCount val="7"/>
                <c:pt idx="0">
                  <c:v>1942926.5000000005</c:v>
                </c:pt>
                <c:pt idx="1">
                  <c:v>1677596.16</c:v>
                </c:pt>
                <c:pt idx="2">
                  <c:v>2027866.9200000004</c:v>
                </c:pt>
                <c:pt idx="3">
                  <c:v>1995697.0499999993</c:v>
                </c:pt>
                <c:pt idx="4">
                  <c:v>1920143.3499999996</c:v>
                </c:pt>
                <c:pt idx="5">
                  <c:v>1516796.3299999998</c:v>
                </c:pt>
                <c:pt idx="6">
                  <c:v>1757914.4199999995</c:v>
                </c:pt>
              </c:numCache>
            </c:numRef>
          </c:val>
          <c:extLst>
            <c:ext xmlns:c16="http://schemas.microsoft.com/office/drawing/2014/chart" uri="{C3380CC4-5D6E-409C-BE32-E72D297353CC}">
              <c16:uniqueId val="{00000000-9916-4F09-87D6-92C924E03099}"/>
            </c:ext>
          </c:extLst>
        </c:ser>
        <c:dLbls>
          <c:showLegendKey val="0"/>
          <c:showVal val="0"/>
          <c:showCatName val="0"/>
          <c:showSerName val="0"/>
          <c:showPercent val="0"/>
          <c:showBubbleSize val="0"/>
        </c:dLbls>
        <c:gapWidth val="182"/>
        <c:axId val="1346259616"/>
        <c:axId val="1227393456"/>
      </c:barChart>
      <c:catAx>
        <c:axId val="1346259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393456"/>
        <c:crosses val="autoZero"/>
        <c:auto val="1"/>
        <c:lblAlgn val="ctr"/>
        <c:lblOffset val="100"/>
        <c:noMultiLvlLbl val="0"/>
      </c:catAx>
      <c:valAx>
        <c:axId val="1227393456"/>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25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[Inventory-Tracking.xlsx]location!PivotTable4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a:t>
            </a:r>
            <a:r>
              <a:rPr lang="en-US" baseline="0"/>
              <a:t> value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1666666666666771E-2"/>
              <c:y val="0.1805555555555556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1944444444444445"/>
              <c:y val="-7.870370370370370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1.6666666666666614E-2"/>
              <c:y val="-0.1805555555555556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1944444444444445"/>
              <c:y val="-3.240740740740740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c:spPr>
        <c:dLbl>
          <c:idx val="0"/>
          <c:layout>
            <c:manualLayout>
              <c:x val="8.611111111111111E-2"/>
              <c:y val="0.19907407407407407"/>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9.1666666666666771E-2"/>
              <c:y val="0.1805555555555556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1944444444444445"/>
              <c:y val="-7.870370370370370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1.6666666666666614E-2"/>
              <c:y val="-0.1805555555555556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1944444444444445"/>
              <c:y val="-3.240740740740740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8.611111111111111E-2"/>
              <c:y val="0.19907407407407407"/>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4691528545119706"/>
              <c:y val="0.19204995927233229"/>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3786052986470623"/>
              <c:y val="-8.4450629016200568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4.4290976058931862E-2"/>
              <c:y val="-0.1748085799619875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5167268456083874"/>
              <c:y val="-3.2407457688478698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0452719653137277"/>
              <c:y val="0.1990741243551452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location!$B$3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6E-461C-A99B-7084D0C9A1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6E-461C-A99B-7084D0C9A1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6E-461C-A99B-7084D0C9A1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6E-461C-A99B-7084D0C9A1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66E-461C-A99B-7084D0C9A12E}"/>
              </c:ext>
            </c:extLst>
          </c:dPt>
          <c:dLbls>
            <c:dLbl>
              <c:idx val="0"/>
              <c:layout>
                <c:manualLayout>
                  <c:x val="-0.14691528545119706"/>
                  <c:y val="0.1920499592723322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66E-461C-A99B-7084D0C9A12E}"/>
                </c:ext>
              </c:extLst>
            </c:dLbl>
            <c:dLbl>
              <c:idx val="1"/>
              <c:layout>
                <c:manualLayout>
                  <c:x val="-0.13786052986470623"/>
                  <c:y val="-8.445062901620056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66E-461C-A99B-7084D0C9A12E}"/>
                </c:ext>
              </c:extLst>
            </c:dLbl>
            <c:dLbl>
              <c:idx val="2"/>
              <c:layout>
                <c:manualLayout>
                  <c:x val="4.4290976058931862E-2"/>
                  <c:y val="-0.1748085799619875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66E-461C-A99B-7084D0C9A12E}"/>
                </c:ext>
              </c:extLst>
            </c:dLbl>
            <c:dLbl>
              <c:idx val="3"/>
              <c:layout>
                <c:manualLayout>
                  <c:x val="0.15167268456083874"/>
                  <c:y val="-3.240745768847869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66E-461C-A99B-7084D0C9A12E}"/>
                </c:ext>
              </c:extLst>
            </c:dLbl>
            <c:dLbl>
              <c:idx val="4"/>
              <c:layout>
                <c:manualLayout>
                  <c:x val="0.10452719653137277"/>
                  <c:y val="0.1990741243551452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66E-461C-A99B-7084D0C9A12E}"/>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location!$A$4:$A$8</c:f>
              <c:strCache>
                <c:ptCount val="5"/>
                <c:pt idx="0">
                  <c:v>WH-1</c:v>
                </c:pt>
                <c:pt idx="1">
                  <c:v>WH-2</c:v>
                </c:pt>
                <c:pt idx="2">
                  <c:v>WH-3</c:v>
                </c:pt>
                <c:pt idx="3">
                  <c:v>WH-4</c:v>
                </c:pt>
                <c:pt idx="4">
                  <c:v>WH-5</c:v>
                </c:pt>
              </c:strCache>
            </c:strRef>
          </c:cat>
          <c:val>
            <c:numRef>
              <c:f>location!$B$4:$B$8</c:f>
              <c:numCache>
                <c:formatCode>General</c:formatCode>
                <c:ptCount val="5"/>
                <c:pt idx="0">
                  <c:v>2779092.0700000003</c:v>
                </c:pt>
                <c:pt idx="1">
                  <c:v>2611748.9</c:v>
                </c:pt>
                <c:pt idx="2">
                  <c:v>2605362.66</c:v>
                </c:pt>
                <c:pt idx="3">
                  <c:v>2670053.4100000006</c:v>
                </c:pt>
                <c:pt idx="4">
                  <c:v>2172683.6900000004</c:v>
                </c:pt>
              </c:numCache>
            </c:numRef>
          </c:val>
          <c:extLst>
            <c:ext xmlns:c16="http://schemas.microsoft.com/office/drawing/2014/chart" uri="{C3380CC4-5D6E-409C-BE32-E72D297353CC}">
              <c16:uniqueId val="{0000000A-266E-461C-A99B-7084D0C9A12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[Inventory-Tracking.xlsx]salers 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Number of Products by Supplier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5319444444444447"/>
          <c:w val="0.89019685039370078"/>
          <c:h val="0.72088764946048411"/>
        </c:manualLayout>
      </c:layout>
      <c:barChart>
        <c:barDir val="col"/>
        <c:grouping val="clustered"/>
        <c:varyColors val="0"/>
        <c:ser>
          <c:idx val="0"/>
          <c:order val="0"/>
          <c:tx>
            <c:strRef>
              <c:f>'salers analysis'!$B$3</c:f>
              <c:strCache>
                <c:ptCount val="1"/>
                <c:pt idx="0">
                  <c:v>Total</c:v>
                </c:pt>
              </c:strCache>
            </c:strRef>
          </c:tx>
          <c:spPr>
            <a:solidFill>
              <a:schemeClr val="accent1"/>
            </a:solidFill>
            <a:ln>
              <a:noFill/>
            </a:ln>
            <a:effectLst/>
          </c:spPr>
          <c:invertIfNegative val="0"/>
          <c:cat>
            <c:strRef>
              <c:f>'salers analysis'!$A$4:$A$7</c:f>
              <c:strCache>
                <c:ptCount val="4"/>
                <c:pt idx="0">
                  <c:v>DirectGoods</c:v>
                </c:pt>
                <c:pt idx="1">
                  <c:v>Global Parts</c:v>
                </c:pt>
                <c:pt idx="2">
                  <c:v>SupplyCo</c:v>
                </c:pt>
                <c:pt idx="3">
                  <c:v>WarePlus</c:v>
                </c:pt>
              </c:strCache>
            </c:strRef>
          </c:cat>
          <c:val>
            <c:numRef>
              <c:f>'salers analysis'!$B$4:$B$7</c:f>
              <c:numCache>
                <c:formatCode>General</c:formatCode>
                <c:ptCount val="4"/>
                <c:pt idx="0">
                  <c:v>132</c:v>
                </c:pt>
                <c:pt idx="1">
                  <c:v>115</c:v>
                </c:pt>
                <c:pt idx="2">
                  <c:v>123</c:v>
                </c:pt>
                <c:pt idx="3">
                  <c:v>130</c:v>
                </c:pt>
              </c:numCache>
            </c:numRef>
          </c:val>
          <c:extLst>
            <c:ext xmlns:c16="http://schemas.microsoft.com/office/drawing/2014/chart" uri="{C3380CC4-5D6E-409C-BE32-E72D297353CC}">
              <c16:uniqueId val="{00000000-B18F-45BE-A75C-76AD61C5FB51}"/>
            </c:ext>
          </c:extLst>
        </c:ser>
        <c:dLbls>
          <c:showLegendKey val="0"/>
          <c:showVal val="0"/>
          <c:showCatName val="0"/>
          <c:showSerName val="0"/>
          <c:showPercent val="0"/>
          <c:showBubbleSize val="0"/>
        </c:dLbls>
        <c:gapWidth val="219"/>
        <c:overlap val="-27"/>
        <c:axId val="1273344736"/>
        <c:axId val="1285881264"/>
      </c:barChart>
      <c:catAx>
        <c:axId val="127334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881264"/>
        <c:crosses val="autoZero"/>
        <c:auto val="1"/>
        <c:lblAlgn val="ctr"/>
        <c:lblOffset val="100"/>
        <c:noMultiLvlLbl val="0"/>
      </c:catAx>
      <c:valAx>
        <c:axId val="1285881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34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[Inventory-Tracking.xlsx]avg lead time!PivotTable6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lead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886482939632546E-2"/>
          <c:y val="0.15319444444444447"/>
          <c:w val="0.88389129483814521"/>
          <c:h val="0.72088764946048411"/>
        </c:manualLayout>
      </c:layout>
      <c:barChart>
        <c:barDir val="col"/>
        <c:grouping val="clustered"/>
        <c:varyColors val="0"/>
        <c:ser>
          <c:idx val="0"/>
          <c:order val="0"/>
          <c:tx>
            <c:strRef>
              <c:f>'avg lead time'!$B$3</c:f>
              <c:strCache>
                <c:ptCount val="1"/>
                <c:pt idx="0">
                  <c:v>Total</c:v>
                </c:pt>
              </c:strCache>
            </c:strRef>
          </c:tx>
          <c:spPr>
            <a:solidFill>
              <a:schemeClr val="accent1"/>
            </a:solidFill>
            <a:ln>
              <a:noFill/>
            </a:ln>
            <a:effectLst/>
          </c:spPr>
          <c:invertIfNegative val="0"/>
          <c:cat>
            <c:strRef>
              <c:f>'avg lead time'!$A$4:$A$7</c:f>
              <c:strCache>
                <c:ptCount val="4"/>
                <c:pt idx="0">
                  <c:v>DirectGoods</c:v>
                </c:pt>
                <c:pt idx="1">
                  <c:v>Global Parts</c:v>
                </c:pt>
                <c:pt idx="2">
                  <c:v>SupplyCo</c:v>
                </c:pt>
                <c:pt idx="3">
                  <c:v>WarePlus</c:v>
                </c:pt>
              </c:strCache>
            </c:strRef>
          </c:cat>
          <c:val>
            <c:numRef>
              <c:f>'avg lead time'!$B$4:$B$7</c:f>
              <c:numCache>
                <c:formatCode>General</c:formatCode>
                <c:ptCount val="4"/>
                <c:pt idx="0">
                  <c:v>11.780303030303031</c:v>
                </c:pt>
                <c:pt idx="1">
                  <c:v>12.034782608695652</c:v>
                </c:pt>
                <c:pt idx="2">
                  <c:v>11.333333333333334</c:v>
                </c:pt>
                <c:pt idx="3">
                  <c:v>12.946153846153846</c:v>
                </c:pt>
              </c:numCache>
            </c:numRef>
          </c:val>
          <c:extLst>
            <c:ext xmlns:c16="http://schemas.microsoft.com/office/drawing/2014/chart" uri="{C3380CC4-5D6E-409C-BE32-E72D297353CC}">
              <c16:uniqueId val="{00000000-7774-4507-8E50-B92B51931D7B}"/>
            </c:ext>
          </c:extLst>
        </c:ser>
        <c:dLbls>
          <c:showLegendKey val="0"/>
          <c:showVal val="0"/>
          <c:showCatName val="0"/>
          <c:showSerName val="0"/>
          <c:showPercent val="0"/>
          <c:showBubbleSize val="0"/>
        </c:dLbls>
        <c:gapWidth val="219"/>
        <c:overlap val="-27"/>
        <c:axId val="1353537904"/>
        <c:axId val="1227395376"/>
      </c:barChart>
      <c:catAx>
        <c:axId val="135353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395376"/>
        <c:crosses val="autoZero"/>
        <c:auto val="1"/>
        <c:lblAlgn val="ctr"/>
        <c:lblOffset val="100"/>
        <c:noMultiLvlLbl val="0"/>
      </c:catAx>
      <c:valAx>
        <c:axId val="122739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3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[Inventory-Tracking.xlsx]stock level!PivotTable7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a:t>
            </a:r>
            <a:r>
              <a:rPr lang="en-US" baseline="0"/>
              <a:t> level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84536307961504"/>
          <c:y val="0.15319444444444447"/>
          <c:w val="0.81282130358705162"/>
          <c:h val="0.72088764946048411"/>
        </c:manualLayout>
      </c:layout>
      <c:barChart>
        <c:barDir val="bar"/>
        <c:grouping val="clustered"/>
        <c:varyColors val="0"/>
        <c:ser>
          <c:idx val="0"/>
          <c:order val="0"/>
          <c:tx>
            <c:strRef>
              <c:f>'stock level'!$B$3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'stock level'!$A$4:$A$10</c:f>
              <c:strCache>
                <c:ptCount val="7"/>
                <c:pt idx="0">
                  <c:v>Desk</c:v>
                </c:pt>
                <c:pt idx="1">
                  <c:v>Printer</c:v>
                </c:pt>
                <c:pt idx="2">
                  <c:v>Tablet</c:v>
                </c:pt>
                <c:pt idx="3">
                  <c:v>Laptop</c:v>
                </c:pt>
                <c:pt idx="4">
                  <c:v>Monitor</c:v>
                </c:pt>
                <c:pt idx="5">
                  <c:v>Phone</c:v>
                </c:pt>
                <c:pt idx="6">
                  <c:v>Chair</c:v>
                </c:pt>
              </c:strCache>
            </c:strRef>
          </c:cat>
          <c:val>
            <c:numRef>
              <c:f>'stock level'!$B$4:$B$10</c:f>
              <c:numCache>
                <c:formatCode>General</c:formatCode>
                <c:ptCount val="7"/>
                <c:pt idx="0">
                  <c:v>15155</c:v>
                </c:pt>
                <c:pt idx="1">
                  <c:v>16692</c:v>
                </c:pt>
                <c:pt idx="2">
                  <c:v>17650</c:v>
                </c:pt>
                <c:pt idx="3">
                  <c:v>18275</c:v>
                </c:pt>
                <c:pt idx="4">
                  <c:v>19063</c:v>
                </c:pt>
                <c:pt idx="5">
                  <c:v>19421</c:v>
                </c:pt>
                <c:pt idx="6">
                  <c:v>19585</c:v>
                </c:pt>
              </c:numCache>
            </c:numRef>
          </c:val>
          <c:extLst>
            <c:ext xmlns:c16="http://schemas.microsoft.com/office/drawing/2014/chart" uri="{C3380CC4-5D6E-409C-BE32-E72D297353CC}">
              <c16:uniqueId val="{00000000-74A9-4F59-BB3A-93E627A87061}"/>
            </c:ext>
          </c:extLst>
        </c:ser>
        <c:dLbls>
          <c:showLegendKey val="0"/>
          <c:showVal val="0"/>
          <c:showCatName val="0"/>
          <c:showSerName val="0"/>
          <c:showPercent val="0"/>
          <c:showBubbleSize val="0"/>
        </c:dLbls>
        <c:gapWidth val="182"/>
        <c:axId val="1301752944"/>
        <c:axId val="1286047824"/>
      </c:barChart>
      <c:catAx>
        <c:axId val="1301752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047824"/>
        <c:crosses val="autoZero"/>
        <c:auto val="1"/>
        <c:lblAlgn val="ctr"/>
        <c:lblOffset val="100"/>
        <c:noMultiLvlLbl val="0"/>
      </c:catAx>
      <c:valAx>
        <c:axId val="1286047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75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[Inventory-Tracking.xlsx]inventory value!PivotTable2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a:t>
            </a:r>
            <a:r>
              <a:rPr lang="en-US" baseline="0"/>
              <a:t> value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 value'!$B$3</c:f>
              <c:strCache>
                <c:ptCount val="1"/>
                <c:pt idx="0">
                  <c:v>Total</c:v>
                </c:pt>
              </c:strCache>
            </c:strRef>
          </c:tx>
          <c:spPr>
            <a:solidFill>
              <a:schemeClr val="accent1"/>
            </a:solidFill>
            <a:ln>
              <a:noFill/>
            </a:ln>
            <a:effectLst/>
          </c:spPr>
          <c:invertIfNegative val="0"/>
          <c:cat>
            <c:strRef>
              <c:f>'inventory value'!$A$4:$A$5</c:f>
              <c:strCache>
                <c:ptCount val="2"/>
                <c:pt idx="0">
                  <c:v>Electronics</c:v>
                </c:pt>
                <c:pt idx="1">
                  <c:v>Furniture</c:v>
                </c:pt>
              </c:strCache>
            </c:strRef>
          </c:cat>
          <c:val>
            <c:numRef>
              <c:f>'inventory value'!$B$4:$B$5</c:f>
              <c:numCache>
                <c:formatCode>General</c:formatCode>
                <c:ptCount val="2"/>
                <c:pt idx="0">
                  <c:v>9218418.0699999966</c:v>
                </c:pt>
                <c:pt idx="1">
                  <c:v>3620522.6600000015</c:v>
                </c:pt>
              </c:numCache>
            </c:numRef>
          </c:val>
          <c:extLst>
            <c:ext xmlns:c16="http://schemas.microsoft.com/office/drawing/2014/chart" uri="{C3380CC4-5D6E-409C-BE32-E72D297353CC}">
              <c16:uniqueId val="{00000000-4E99-477F-ADF9-10762C506E98}"/>
            </c:ext>
          </c:extLst>
        </c:ser>
        <c:dLbls>
          <c:showLegendKey val="0"/>
          <c:showVal val="0"/>
          <c:showCatName val="0"/>
          <c:showSerName val="0"/>
          <c:showPercent val="0"/>
          <c:showBubbleSize val="0"/>
        </c:dLbls>
        <c:gapWidth val="219"/>
        <c:overlap val="-27"/>
        <c:axId val="1307420016"/>
        <c:axId val="1300009104"/>
      </c:barChart>
      <c:catAx>
        <c:axId val="130742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009104"/>
        <c:crosses val="autoZero"/>
        <c:auto val="1"/>
        <c:lblAlgn val="ctr"/>
        <c:lblOffset val="100"/>
        <c:noMultiLvlLbl val="0"/>
      </c:catAx>
      <c:valAx>
        <c:axId val="1300009104"/>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42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[Inventory-Tracking.xlsx]inv_by_product!PivotTable3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a:t>
            </a:r>
            <a:r>
              <a:rPr lang="en-US" baseline="0"/>
              <a:t> value by product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95647419072616"/>
          <c:y val="0.14856481481481484"/>
          <c:w val="0.80015463692038491"/>
          <c:h val="0.72088764946048411"/>
        </c:manualLayout>
      </c:layout>
      <c:barChart>
        <c:barDir val="bar"/>
        <c:grouping val="clustered"/>
        <c:varyColors val="0"/>
        <c:ser>
          <c:idx val="0"/>
          <c:order val="0"/>
          <c:tx>
            <c:strRef>
              <c:f>inv_by_product!$B$3</c:f>
              <c:strCache>
                <c:ptCount val="1"/>
                <c:pt idx="0">
                  <c:v>Total</c:v>
                </c:pt>
              </c:strCache>
            </c:strRef>
          </c:tx>
          <c:spPr>
            <a:solidFill>
              <a:schemeClr val="accent1"/>
            </a:solidFill>
            <a:ln>
              <a:noFill/>
            </a:ln>
            <a:effectLst/>
          </c:spPr>
          <c:invertIfNegative val="0"/>
          <c:cat>
            <c:strRef>
              <c:f>inv_by_product!$A$4:$A$10</c:f>
              <c:strCache>
                <c:ptCount val="7"/>
                <c:pt idx="0">
                  <c:v>Chair</c:v>
                </c:pt>
                <c:pt idx="1">
                  <c:v>Desk</c:v>
                </c:pt>
                <c:pt idx="2">
                  <c:v>Laptop</c:v>
                </c:pt>
                <c:pt idx="3">
                  <c:v>Monitor</c:v>
                </c:pt>
                <c:pt idx="4">
                  <c:v>Phone</c:v>
                </c:pt>
                <c:pt idx="5">
                  <c:v>Printer</c:v>
                </c:pt>
                <c:pt idx="6">
                  <c:v>Tablet</c:v>
                </c:pt>
              </c:strCache>
            </c:strRef>
          </c:cat>
          <c:val>
            <c:numRef>
              <c:f>inv_by_product!$B$4:$B$10</c:f>
              <c:numCache>
                <c:formatCode>General</c:formatCode>
                <c:ptCount val="7"/>
                <c:pt idx="0">
                  <c:v>1942926.5000000005</c:v>
                </c:pt>
                <c:pt idx="1">
                  <c:v>1677596.16</c:v>
                </c:pt>
                <c:pt idx="2">
                  <c:v>2027866.9200000004</c:v>
                </c:pt>
                <c:pt idx="3">
                  <c:v>1995697.0499999993</c:v>
                </c:pt>
                <c:pt idx="4">
                  <c:v>1920143.3499999996</c:v>
                </c:pt>
                <c:pt idx="5">
                  <c:v>1516796.3299999998</c:v>
                </c:pt>
                <c:pt idx="6">
                  <c:v>1757914.4199999995</c:v>
                </c:pt>
              </c:numCache>
            </c:numRef>
          </c:val>
          <c:extLst>
            <c:ext xmlns:c16="http://schemas.microsoft.com/office/drawing/2014/chart" uri="{C3380CC4-5D6E-409C-BE32-E72D297353CC}">
              <c16:uniqueId val="{00000000-A1DA-4A03-8FC3-D32770CB3E5D}"/>
            </c:ext>
          </c:extLst>
        </c:ser>
        <c:dLbls>
          <c:showLegendKey val="0"/>
          <c:showVal val="0"/>
          <c:showCatName val="0"/>
          <c:showSerName val="0"/>
          <c:showPercent val="0"/>
          <c:showBubbleSize val="0"/>
        </c:dLbls>
        <c:gapWidth val="182"/>
        <c:axId val="1346259616"/>
        <c:axId val="1227393456"/>
      </c:barChart>
      <c:catAx>
        <c:axId val="1346259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393456"/>
        <c:crosses val="autoZero"/>
        <c:auto val="1"/>
        <c:lblAlgn val="ctr"/>
        <c:lblOffset val="100"/>
        <c:noMultiLvlLbl val="0"/>
      </c:catAx>
      <c:valAx>
        <c:axId val="1227393456"/>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25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[Inventory-Tracking.xlsx]location!PivotTable4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1666666666666771E-2"/>
              <c:y val="0.1805555555555556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944444444444445"/>
              <c:y val="-7.870370370370370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1.6666666666666614E-2"/>
              <c:y val="-0.1805555555555556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1944444444444445"/>
              <c:y val="-3.240740740740740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8.611111111111111E-2"/>
              <c:y val="0.19907407407407407"/>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location!$B$3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9C7-4052-8D0C-CB207BB66F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C7-4052-8D0C-CB207BB66F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19C7-4052-8D0C-CB207BB66F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19C7-4052-8D0C-CB207BB66F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19C7-4052-8D0C-CB207BB66F92}"/>
              </c:ext>
            </c:extLst>
          </c:dPt>
          <c:dLbls>
            <c:dLbl>
              <c:idx val="0"/>
              <c:layout>
                <c:manualLayout>
                  <c:x val="-9.1666666666666771E-2"/>
                  <c:y val="0.1805555555555556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9C7-4052-8D0C-CB207BB66F92}"/>
                </c:ext>
              </c:extLst>
            </c:dLbl>
            <c:dLbl>
              <c:idx val="1"/>
              <c:layout>
                <c:manualLayout>
                  <c:x val="-0.11944444444444445"/>
                  <c:y val="-7.87037037037037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9C7-4052-8D0C-CB207BB66F92}"/>
                </c:ext>
              </c:extLst>
            </c:dLbl>
            <c:dLbl>
              <c:idx val="2"/>
              <c:layout>
                <c:manualLayout>
                  <c:x val="1.6666666666666614E-2"/>
                  <c:y val="-0.1805555555555556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9C7-4052-8D0C-CB207BB66F92}"/>
                </c:ext>
              </c:extLst>
            </c:dLbl>
            <c:dLbl>
              <c:idx val="3"/>
              <c:layout>
                <c:manualLayout>
                  <c:x val="0.11944444444444445"/>
                  <c:y val="-3.24074074074074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9C7-4052-8D0C-CB207BB66F92}"/>
                </c:ext>
              </c:extLst>
            </c:dLbl>
            <c:dLbl>
              <c:idx val="4"/>
              <c:layout>
                <c:manualLayout>
                  <c:x val="8.611111111111111E-2"/>
                  <c:y val="0.199074074074074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19C7-4052-8D0C-CB207BB66F92}"/>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location!$A$4:$A$8</c:f>
              <c:strCache>
                <c:ptCount val="5"/>
                <c:pt idx="0">
                  <c:v>WH-1</c:v>
                </c:pt>
                <c:pt idx="1">
                  <c:v>WH-2</c:v>
                </c:pt>
                <c:pt idx="2">
                  <c:v>WH-3</c:v>
                </c:pt>
                <c:pt idx="3">
                  <c:v>WH-4</c:v>
                </c:pt>
                <c:pt idx="4">
                  <c:v>WH-5</c:v>
                </c:pt>
              </c:strCache>
            </c:strRef>
          </c:cat>
          <c:val>
            <c:numRef>
              <c:f>location!$B$4:$B$8</c:f>
              <c:numCache>
                <c:formatCode>General</c:formatCode>
                <c:ptCount val="5"/>
                <c:pt idx="0">
                  <c:v>2779092.0700000003</c:v>
                </c:pt>
                <c:pt idx="1">
                  <c:v>2611748.9</c:v>
                </c:pt>
                <c:pt idx="2">
                  <c:v>2605362.66</c:v>
                </c:pt>
                <c:pt idx="3">
                  <c:v>2670053.4100000006</c:v>
                </c:pt>
                <c:pt idx="4">
                  <c:v>2172683.6900000004</c:v>
                </c:pt>
              </c:numCache>
            </c:numRef>
          </c:val>
          <c:extLst>
            <c:ext xmlns:c16="http://schemas.microsoft.com/office/drawing/2014/chart" uri="{C3380CC4-5D6E-409C-BE32-E72D297353CC}">
              <c16:uniqueId val="{00000000-19C7-4052-8D0C-CB207BB66F9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[Inventory-Tracking.xlsx]salers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 by supplier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'salers analysis'!$B$3</c:f>
              <c:strCache>
                <c:ptCount val="1"/>
                <c:pt idx="0">
                  <c:v>Total</c:v>
                </c:pt>
              </c:strCache>
            </c:strRef>
          </c:tx>
          <c:spPr>
            <a:solidFill>
              <a:schemeClr val="accent1"/>
            </a:solidFill>
            <a:ln>
              <a:noFill/>
            </a:ln>
            <a:effectLst/>
          </c:spPr>
          <c:invertIfNegative val="0"/>
          <c:cat>
            <c:strRef>
              <c:f>'salers analysis'!$A$4:$A$7</c:f>
              <c:strCache>
                <c:ptCount val="4"/>
                <c:pt idx="0">
                  <c:v>DirectGoods</c:v>
                </c:pt>
                <c:pt idx="1">
                  <c:v>Global Parts</c:v>
                </c:pt>
                <c:pt idx="2">
                  <c:v>SupplyCo</c:v>
                </c:pt>
                <c:pt idx="3">
                  <c:v>WarePlus</c:v>
                </c:pt>
              </c:strCache>
            </c:strRef>
          </c:cat>
          <c:val>
            <c:numRef>
              <c:f>'salers analysis'!$B$4:$B$7</c:f>
              <c:numCache>
                <c:formatCode>General</c:formatCode>
                <c:ptCount val="4"/>
                <c:pt idx="0">
                  <c:v>132</c:v>
                </c:pt>
                <c:pt idx="1">
                  <c:v>115</c:v>
                </c:pt>
                <c:pt idx="2">
                  <c:v>123</c:v>
                </c:pt>
                <c:pt idx="3">
                  <c:v>130</c:v>
                </c:pt>
              </c:numCache>
            </c:numRef>
          </c:val>
          <c:extLst>
            <c:ext xmlns:c16="http://schemas.microsoft.com/office/drawing/2014/chart" uri="{C3380CC4-5D6E-409C-BE32-E72D297353CC}">
              <c16:uniqueId val="{00000000-C25C-4BC3-BC26-19D671705DFF}"/>
            </c:ext>
          </c:extLst>
        </c:ser>
        <c:dLbls>
          <c:showLegendKey val="0"/>
          <c:showVal val="0"/>
          <c:showCatName val="0"/>
          <c:showSerName val="0"/>
          <c:showPercent val="0"/>
          <c:showBubbleSize val="0"/>
        </c:dLbls>
        <c:gapWidth val="219"/>
        <c:overlap val="-27"/>
        <c:axId val="1273344736"/>
        <c:axId val="1285881264"/>
      </c:barChart>
      <c:catAx>
        <c:axId val="127334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881264"/>
        <c:crosses val="autoZero"/>
        <c:auto val="1"/>
        <c:lblAlgn val="ctr"/>
        <c:lblOffset val="100"/>
        <c:noMultiLvlLbl val="0"/>
      </c:catAx>
      <c:valAx>
        <c:axId val="1285881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34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[Inventory-Tracking.xlsx]avg lead time!PivotTable6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lead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886482939632546E-2"/>
          <c:y val="0.15319444444444447"/>
          <c:w val="0.88389129483814521"/>
          <c:h val="0.72088764946048411"/>
        </c:manualLayout>
      </c:layout>
      <c:barChart>
        <c:barDir val="col"/>
        <c:grouping val="clustered"/>
        <c:varyColors val="0"/>
        <c:ser>
          <c:idx val="0"/>
          <c:order val="0"/>
          <c:tx>
            <c:strRef>
              <c:f>'avg lead time'!$B$3</c:f>
              <c:strCache>
                <c:ptCount val="1"/>
                <c:pt idx="0">
                  <c:v>Total</c:v>
                </c:pt>
              </c:strCache>
            </c:strRef>
          </c:tx>
          <c:spPr>
            <a:solidFill>
              <a:schemeClr val="accent1"/>
            </a:solidFill>
            <a:ln>
              <a:noFill/>
            </a:ln>
            <a:effectLst/>
          </c:spPr>
          <c:invertIfNegative val="0"/>
          <c:cat>
            <c:strRef>
              <c:f>'avg lead time'!$A$4:$A$7</c:f>
              <c:strCache>
                <c:ptCount val="4"/>
                <c:pt idx="0">
                  <c:v>DirectGoods</c:v>
                </c:pt>
                <c:pt idx="1">
                  <c:v>Global Parts</c:v>
                </c:pt>
                <c:pt idx="2">
                  <c:v>SupplyCo</c:v>
                </c:pt>
                <c:pt idx="3">
                  <c:v>WarePlus</c:v>
                </c:pt>
              </c:strCache>
            </c:strRef>
          </c:cat>
          <c:val>
            <c:numRef>
              <c:f>'avg lead time'!$B$4:$B$7</c:f>
              <c:numCache>
                <c:formatCode>General</c:formatCode>
                <c:ptCount val="4"/>
                <c:pt idx="0">
                  <c:v>11.780303030303031</c:v>
                </c:pt>
                <c:pt idx="1">
                  <c:v>12.034782608695652</c:v>
                </c:pt>
                <c:pt idx="2">
                  <c:v>11.333333333333334</c:v>
                </c:pt>
                <c:pt idx="3">
                  <c:v>12.946153846153846</c:v>
                </c:pt>
              </c:numCache>
            </c:numRef>
          </c:val>
          <c:extLst>
            <c:ext xmlns:c16="http://schemas.microsoft.com/office/drawing/2014/chart" uri="{C3380CC4-5D6E-409C-BE32-E72D297353CC}">
              <c16:uniqueId val="{00000000-7CDF-423B-8ACE-D2C740D88753}"/>
            </c:ext>
          </c:extLst>
        </c:ser>
        <c:dLbls>
          <c:showLegendKey val="0"/>
          <c:showVal val="0"/>
          <c:showCatName val="0"/>
          <c:showSerName val="0"/>
          <c:showPercent val="0"/>
          <c:showBubbleSize val="0"/>
        </c:dLbls>
        <c:gapWidth val="219"/>
        <c:overlap val="-27"/>
        <c:axId val="1353537904"/>
        <c:axId val="1227395376"/>
      </c:barChart>
      <c:catAx>
        <c:axId val="135353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395376"/>
        <c:crosses val="autoZero"/>
        <c:auto val="1"/>
        <c:lblAlgn val="ctr"/>
        <c:lblOffset val="100"/>
        <c:noMultiLvlLbl val="0"/>
      </c:catAx>
      <c:valAx>
        <c:axId val="122739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3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[Inventory-Tracking.xlsx]stock level!PivotTable7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a:t>
            </a:r>
            <a:r>
              <a:rPr lang="en-US" baseline="0"/>
              <a:t> level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84536307961504"/>
          <c:y val="0.15319444444444447"/>
          <c:w val="0.81282130358705162"/>
          <c:h val="0.72088764946048411"/>
        </c:manualLayout>
      </c:layout>
      <c:barChart>
        <c:barDir val="bar"/>
        <c:grouping val="clustered"/>
        <c:varyColors val="0"/>
        <c:ser>
          <c:idx val="0"/>
          <c:order val="0"/>
          <c:tx>
            <c:strRef>
              <c:f>'stock level'!$B$3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'stock level'!$A$4:$A$10</c:f>
              <c:strCache>
                <c:ptCount val="7"/>
                <c:pt idx="0">
                  <c:v>Desk</c:v>
                </c:pt>
                <c:pt idx="1">
                  <c:v>Printer</c:v>
                </c:pt>
                <c:pt idx="2">
                  <c:v>Tablet</c:v>
                </c:pt>
                <c:pt idx="3">
                  <c:v>Laptop</c:v>
                </c:pt>
                <c:pt idx="4">
                  <c:v>Monitor</c:v>
                </c:pt>
                <c:pt idx="5">
                  <c:v>Phone</c:v>
                </c:pt>
                <c:pt idx="6">
                  <c:v>Chair</c:v>
                </c:pt>
              </c:strCache>
            </c:strRef>
          </c:cat>
          <c:val>
            <c:numRef>
              <c:f>'stock level'!$B$4:$B$10</c:f>
              <c:numCache>
                <c:formatCode>General</c:formatCode>
                <c:ptCount val="7"/>
                <c:pt idx="0">
                  <c:v>15155</c:v>
                </c:pt>
                <c:pt idx="1">
                  <c:v>16692</c:v>
                </c:pt>
                <c:pt idx="2">
                  <c:v>17650</c:v>
                </c:pt>
                <c:pt idx="3">
                  <c:v>18275</c:v>
                </c:pt>
                <c:pt idx="4">
                  <c:v>19063</c:v>
                </c:pt>
                <c:pt idx="5">
                  <c:v>19421</c:v>
                </c:pt>
                <c:pt idx="6">
                  <c:v>19585</c:v>
                </c:pt>
              </c:numCache>
            </c:numRef>
          </c:val>
          <c:extLst>
            <c:ext xmlns:c16="http://schemas.microsoft.com/office/drawing/2014/chart" uri="{C3380CC4-5D6E-409C-BE32-E72D297353CC}">
              <c16:uniqueId val="{00000000-01CB-48F3-A4D5-1CADEB67C6AF}"/>
            </c:ext>
          </c:extLst>
        </c:ser>
        <c:dLbls>
          <c:showLegendKey val="0"/>
          <c:showVal val="0"/>
          <c:showCatName val="0"/>
          <c:showSerName val="0"/>
          <c:showPercent val="0"/>
          <c:showBubbleSize val="0"/>
        </c:dLbls>
        <c:gapWidth val="182"/>
        <c:axId val="1301752944"/>
        <c:axId val="1286047824"/>
      </c:barChart>
      <c:catAx>
        <c:axId val="1301752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047824"/>
        <c:crosses val="autoZero"/>
        <c:auto val="1"/>
        <c:lblAlgn val="ctr"/>
        <c:lblOffset val="100"/>
        <c:noMultiLvlLbl val="0"/>
      </c:catAx>
      <c:valAx>
        <c:axId val="1286047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75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281940</xdr:colOff>
      <xdr:row>6</xdr:row>
      <xdr:rowOff>45720</xdr:rowOff>
    </xdr:from>
    <xdr:to>
      <xdr:col>10</xdr:col>
      <xdr:colOff>586740</xdr:colOff>
      <xdr:row>21</xdr:row>
      <xdr:rowOff>45720</xdr:rowOff>
    </xdr:to>
    <xdr:graphicFrame macro="">
      <xdr:nvGraphicFramePr>
        <xdr:cNvPr id="2" name="Chart 1">
          <a:extLst>
            <a:ext uri="{FF2B5EF4-FFF2-40B4-BE49-F238E27FC236}">
              <a16:creationId xmlns:a16="http://schemas.microsoft.com/office/drawing/2014/main" id="{E13871C5-C4AA-A016-4A3E-C7C22FAC8D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274320</xdr:colOff>
      <xdr:row>1</xdr:row>
      <xdr:rowOff>38100</xdr:rowOff>
    </xdr:from>
    <xdr:to>
      <xdr:col>22</xdr:col>
      <xdr:colOff>579120</xdr:colOff>
      <xdr:row>11</xdr:row>
      <xdr:rowOff>106680</xdr:rowOff>
    </xdr:to>
    <xdr:graphicFrame macro="">
      <xdr:nvGraphicFramePr>
        <xdr:cNvPr id="3" name="Chart 2">
          <a:extLst>
            <a:ext uri="{FF2B5EF4-FFF2-40B4-BE49-F238E27FC236}">
              <a16:creationId xmlns:a16="http://schemas.microsoft.com/office/drawing/2014/main" id="{82C1B4DA-2C34-4C0C-98C2-5E3C0751B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236220</xdr:colOff>
      <xdr:row>1</xdr:row>
      <xdr:rowOff>30480</xdr:rowOff>
    </xdr:from>
    <xdr:to>
      <xdr:col>7</xdr:col>
      <xdr:colOff>541020</xdr:colOff>
      <xdr:row>11</xdr:row>
      <xdr:rowOff>99060</xdr:rowOff>
    </xdr:to>
    <xdr:graphicFrame macro="">
      <xdr:nvGraphicFramePr>
        <xdr:cNvPr id="4" name="Chart 3">
          <a:extLst>
            <a:ext uri="{FF2B5EF4-FFF2-40B4-BE49-F238E27FC236}">
              <a16:creationId xmlns:a16="http://schemas.microsoft.com/office/drawing/2014/main" id="{8E08D02D-E4E6-4B79-8F33-6A13192AD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579120</xdr:colOff>
      <xdr:row>1</xdr:row>
      <xdr:rowOff>15240</xdr:rowOff>
    </xdr:from>
    <xdr:to>
      <xdr:col>13</xdr:col>
      <xdr:colOff>441960</xdr:colOff>
      <xdr:row>11</xdr:row>
      <xdr:rowOff>91440</xdr:rowOff>
    </xdr:to>
    <xdr:graphicFrame macro="">
      <xdr:nvGraphicFramePr>
        <xdr:cNvPr id="5" name="Chart 4">
          <a:extLst>
            <a:ext uri="{FF2B5EF4-FFF2-40B4-BE49-F238E27FC236}">
              <a16:creationId xmlns:a16="http://schemas.microsoft.com/office/drawing/2014/main" id="{0179463B-C8C7-479D-B66C-549313C29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495300</xdr:colOff>
      <xdr:row>1</xdr:row>
      <xdr:rowOff>22860</xdr:rowOff>
    </xdr:from>
    <xdr:to>
      <xdr:col>18</xdr:col>
      <xdr:colOff>213360</xdr:colOff>
      <xdr:row>11</xdr:row>
      <xdr:rowOff>99060</xdr:rowOff>
    </xdr:to>
    <xdr:graphicFrame macro="">
      <xdr:nvGraphicFramePr>
        <xdr:cNvPr id="6" name="Chart 5">
          <a:extLst>
            <a:ext uri="{FF2B5EF4-FFF2-40B4-BE49-F238E27FC236}">
              <a16:creationId xmlns:a16="http://schemas.microsoft.com/office/drawing/2014/main" id="{3E8E87D6-4281-4299-8B9A-17D526BDC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243840</xdr:colOff>
      <xdr:row>11</xdr:row>
      <xdr:rowOff>160020</xdr:rowOff>
    </xdr:from>
    <xdr:to>
      <xdr:col>7</xdr:col>
      <xdr:colOff>586740</xdr:colOff>
      <xdr:row>21</xdr:row>
      <xdr:rowOff>99060</xdr:rowOff>
    </xdr:to>
    <xdr:graphicFrame macro="">
      <xdr:nvGraphicFramePr>
        <xdr:cNvPr id="7" name="Chart 6">
          <a:extLst>
            <a:ext uri="{FF2B5EF4-FFF2-40B4-BE49-F238E27FC236}">
              <a16:creationId xmlns:a16="http://schemas.microsoft.com/office/drawing/2014/main" id="{6AD4CD60-63DC-4E1E-8AC9-E68949367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30480</xdr:colOff>
      <xdr:row>11</xdr:row>
      <xdr:rowOff>152400</xdr:rowOff>
    </xdr:from>
    <xdr:to>
      <xdr:col>13</xdr:col>
      <xdr:colOff>510540</xdr:colOff>
      <xdr:row>21</xdr:row>
      <xdr:rowOff>99060</xdr:rowOff>
    </xdr:to>
    <xdr:graphicFrame macro="">
      <xdr:nvGraphicFramePr>
        <xdr:cNvPr id="8" name="Chart 7">
          <a:extLst>
            <a:ext uri="{FF2B5EF4-FFF2-40B4-BE49-F238E27FC236}">
              <a16:creationId xmlns:a16="http://schemas.microsoft.com/office/drawing/2014/main" id="{7383FD5B-AD20-4353-9EE6-8B1D0F444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571500</xdr:colOff>
      <xdr:row>11</xdr:row>
      <xdr:rowOff>160020</xdr:rowOff>
    </xdr:from>
    <xdr:to>
      <xdr:col>22</xdr:col>
      <xdr:colOff>571500</xdr:colOff>
      <xdr:row>21</xdr:row>
      <xdr:rowOff>99060</xdr:rowOff>
    </xdr:to>
    <xdr:graphicFrame macro="">
      <xdr:nvGraphicFramePr>
        <xdr:cNvPr id="9" name="Chart 8">
          <a:extLst>
            <a:ext uri="{FF2B5EF4-FFF2-40B4-BE49-F238E27FC236}">
              <a16:creationId xmlns:a16="http://schemas.microsoft.com/office/drawing/2014/main" id="{A723F35D-79F3-4B35-81E7-A73732683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45720</xdr:colOff>
      <xdr:row>1</xdr:row>
      <xdr:rowOff>68581</xdr:rowOff>
    </xdr:from>
    <xdr:to>
      <xdr:col>2</xdr:col>
      <xdr:colOff>160020</xdr:colOff>
      <xdr:row>5</xdr:row>
      <xdr:rowOff>152401</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D8F40DEF-9362-2289-CC3B-CB116B5D09B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720" y="403861"/>
              <a:ext cx="1333500" cy="815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6</xdr:row>
      <xdr:rowOff>22861</xdr:rowOff>
    </xdr:from>
    <xdr:to>
      <xdr:col>2</xdr:col>
      <xdr:colOff>175260</xdr:colOff>
      <xdr:row>10</xdr:row>
      <xdr:rowOff>137161</xdr:rowOff>
    </xdr:to>
    <mc:AlternateContent xmlns:mc="http://schemas.openxmlformats.org/markup-compatibility/2006" xmlns:a14="http://schemas.microsoft.com/office/drawing/2010/main">
      <mc:Choice Requires="a14">
        <xdr:graphicFrame macro="">
          <xdr:nvGraphicFramePr>
            <xdr:cNvPr id="11" name="stock status">
              <a:extLst>
                <a:ext uri="{FF2B5EF4-FFF2-40B4-BE49-F238E27FC236}">
                  <a16:creationId xmlns:a16="http://schemas.microsoft.com/office/drawing/2014/main" id="{1F71FAD1-A912-B4F4-3474-1D4040543CA8}"/>
                </a:ext>
              </a:extLst>
            </xdr:cNvPr>
            <xdr:cNvGraphicFramePr/>
          </xdr:nvGraphicFramePr>
          <xdr:xfrm>
            <a:off x="0" y="0"/>
            <a:ext cx="0" cy="0"/>
          </xdr:xfrm>
          <a:graphic>
            <a:graphicData uri="http://schemas.microsoft.com/office/drawing/2010/slicer">
              <sle:slicer xmlns:sle="http://schemas.microsoft.com/office/drawing/2010/slicer" name="stock status"/>
            </a:graphicData>
          </a:graphic>
        </xdr:graphicFrame>
      </mc:Choice>
      <mc:Fallback xmlns="">
        <xdr:sp macro="" textlink="">
          <xdr:nvSpPr>
            <xdr:cNvPr id="0" name=""/>
            <xdr:cNvSpPr>
              <a:spLocks noTextEdit="1"/>
            </xdr:cNvSpPr>
          </xdr:nvSpPr>
          <xdr:spPr>
            <a:xfrm>
              <a:off x="45720" y="1272541"/>
              <a:ext cx="1348740" cy="845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10</xdr:row>
      <xdr:rowOff>167641</xdr:rowOff>
    </xdr:from>
    <xdr:to>
      <xdr:col>2</xdr:col>
      <xdr:colOff>152400</xdr:colOff>
      <xdr:row>15</xdr:row>
      <xdr:rowOff>152401</xdr:rowOff>
    </xdr:to>
    <mc:AlternateContent xmlns:mc="http://schemas.openxmlformats.org/markup-compatibility/2006" xmlns:a14="http://schemas.microsoft.com/office/drawing/2010/main">
      <mc:Choice Requires="a14">
        <xdr:graphicFrame macro="">
          <xdr:nvGraphicFramePr>
            <xdr:cNvPr id="12" name="Supplier">
              <a:extLst>
                <a:ext uri="{FF2B5EF4-FFF2-40B4-BE49-F238E27FC236}">
                  <a16:creationId xmlns:a16="http://schemas.microsoft.com/office/drawing/2014/main" id="{26CB6A99-A53E-047B-C8C5-EEF28D7AE714}"/>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45720" y="2148841"/>
              <a:ext cx="132588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16</xdr:row>
      <xdr:rowOff>7621</xdr:rowOff>
    </xdr:from>
    <xdr:to>
      <xdr:col>2</xdr:col>
      <xdr:colOff>167640</xdr:colOff>
      <xdr:row>21</xdr:row>
      <xdr:rowOff>106680</xdr:rowOff>
    </xdr:to>
    <mc:AlternateContent xmlns:mc="http://schemas.openxmlformats.org/markup-compatibility/2006" xmlns:a14="http://schemas.microsoft.com/office/drawing/2010/main">
      <mc:Choice Requires="a14">
        <xdr:graphicFrame macro="">
          <xdr:nvGraphicFramePr>
            <xdr:cNvPr id="13" name="StorageLocation">
              <a:extLst>
                <a:ext uri="{FF2B5EF4-FFF2-40B4-BE49-F238E27FC236}">
                  <a16:creationId xmlns:a16="http://schemas.microsoft.com/office/drawing/2014/main" id="{5604C16C-C19F-3CFB-2C32-3E9D030620AF}"/>
                </a:ext>
              </a:extLst>
            </xdr:cNvPr>
            <xdr:cNvGraphicFramePr/>
          </xdr:nvGraphicFramePr>
          <xdr:xfrm>
            <a:off x="0" y="0"/>
            <a:ext cx="0" cy="0"/>
          </xdr:xfrm>
          <a:graphic>
            <a:graphicData uri="http://schemas.microsoft.com/office/drawing/2010/slicer">
              <sle:slicer xmlns:sle="http://schemas.microsoft.com/office/drawing/2010/slicer" name="StorageLocation"/>
            </a:graphicData>
          </a:graphic>
        </xdr:graphicFrame>
      </mc:Choice>
      <mc:Fallback xmlns="">
        <xdr:sp macro="" textlink="">
          <xdr:nvSpPr>
            <xdr:cNvPr id="0" name=""/>
            <xdr:cNvSpPr>
              <a:spLocks noTextEdit="1"/>
            </xdr:cNvSpPr>
          </xdr:nvSpPr>
          <xdr:spPr>
            <a:xfrm>
              <a:off x="45720" y="3086101"/>
              <a:ext cx="1341120" cy="1013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228600</xdr:colOff>
      <xdr:row>6</xdr:row>
      <xdr:rowOff>45720</xdr:rowOff>
    </xdr:from>
    <xdr:to>
      <xdr:col>10</xdr:col>
      <xdr:colOff>533400</xdr:colOff>
      <xdr:row>21</xdr:row>
      <xdr:rowOff>45720</xdr:rowOff>
    </xdr:to>
    <xdr:graphicFrame macro="">
      <xdr:nvGraphicFramePr>
        <xdr:cNvPr id="2" name="Chart 1">
          <a:extLst>
            <a:ext uri="{FF2B5EF4-FFF2-40B4-BE49-F238E27FC236}">
              <a16:creationId xmlns:a16="http://schemas.microsoft.com/office/drawing/2014/main" id="{B874DB12-356E-CABD-FE0A-2CAC1356C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228600</xdr:colOff>
      <xdr:row>6</xdr:row>
      <xdr:rowOff>45720</xdr:rowOff>
    </xdr:from>
    <xdr:to>
      <xdr:col>10</xdr:col>
      <xdr:colOff>533400</xdr:colOff>
      <xdr:row>21</xdr:row>
      <xdr:rowOff>45720</xdr:rowOff>
    </xdr:to>
    <xdr:graphicFrame macro="">
      <xdr:nvGraphicFramePr>
        <xdr:cNvPr id="2" name="Chart 1">
          <a:extLst>
            <a:ext uri="{FF2B5EF4-FFF2-40B4-BE49-F238E27FC236}">
              <a16:creationId xmlns:a16="http://schemas.microsoft.com/office/drawing/2014/main" id="{D594D987-44DC-7633-CEF0-1A18F32AE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251460</xdr:colOff>
      <xdr:row>8</xdr:row>
      <xdr:rowOff>30480</xdr:rowOff>
    </xdr:from>
    <xdr:to>
      <xdr:col>10</xdr:col>
      <xdr:colOff>30480</xdr:colOff>
      <xdr:row>20</xdr:row>
      <xdr:rowOff>0</xdr:rowOff>
    </xdr:to>
    <xdr:graphicFrame macro="">
      <xdr:nvGraphicFramePr>
        <xdr:cNvPr id="2" name="Chart 1">
          <a:extLst>
            <a:ext uri="{FF2B5EF4-FFF2-40B4-BE49-F238E27FC236}">
              <a16:creationId xmlns:a16="http://schemas.microsoft.com/office/drawing/2014/main" id="{65701F01-7381-BBC2-4371-8498FFEA2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464820</xdr:colOff>
      <xdr:row>6</xdr:row>
      <xdr:rowOff>45720</xdr:rowOff>
    </xdr:from>
    <xdr:to>
      <xdr:col>11</xdr:col>
      <xdr:colOff>160020</xdr:colOff>
      <xdr:row>21</xdr:row>
      <xdr:rowOff>45720</xdr:rowOff>
    </xdr:to>
    <xdr:graphicFrame macro="">
      <xdr:nvGraphicFramePr>
        <xdr:cNvPr id="2" name="Chart 1">
          <a:extLst>
            <a:ext uri="{FF2B5EF4-FFF2-40B4-BE49-F238E27FC236}">
              <a16:creationId xmlns:a16="http://schemas.microsoft.com/office/drawing/2014/main" id="{4FE403A7-09DE-CBC6-AD32-F52C69E810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205740</xdr:colOff>
      <xdr:row>6</xdr:row>
      <xdr:rowOff>45720</xdr:rowOff>
    </xdr:from>
    <xdr:to>
      <xdr:col>13</xdr:col>
      <xdr:colOff>510540</xdr:colOff>
      <xdr:row>21</xdr:row>
      <xdr:rowOff>45720</xdr:rowOff>
    </xdr:to>
    <xdr:graphicFrame macro="">
      <xdr:nvGraphicFramePr>
        <xdr:cNvPr id="2" name="Chart 1">
          <a:extLst>
            <a:ext uri="{FF2B5EF4-FFF2-40B4-BE49-F238E27FC236}">
              <a16:creationId xmlns:a16="http://schemas.microsoft.com/office/drawing/2014/main" id="{7AEC7D64-B9A1-747E-F9A0-A2552909C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144780</xdr:colOff>
      <xdr:row>6</xdr:row>
      <xdr:rowOff>45720</xdr:rowOff>
    </xdr:from>
    <xdr:to>
      <xdr:col>10</xdr:col>
      <xdr:colOff>320040</xdr:colOff>
      <xdr:row>21</xdr:row>
      <xdr:rowOff>45720</xdr:rowOff>
    </xdr:to>
    <xdr:graphicFrame macro="">
      <xdr:nvGraphicFramePr>
        <xdr:cNvPr id="2" name="Chart 1">
          <a:extLst>
            <a:ext uri="{FF2B5EF4-FFF2-40B4-BE49-F238E27FC236}">
              <a16:creationId xmlns:a16="http://schemas.microsoft.com/office/drawing/2014/main" id="{FEC30464-A16D-5183-CC05-5F2A89C86D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MIKA DASH" refreshedDate="46264.45142662037" createdVersion="8" refreshedVersion="8" minRefreshableVersion="3" recordCount="500" xr:uid="{5FE65D82-3B62-4945-B3FF-2B1FE874F30E}">
  <cacheSource type="worksheet">
    <worksheetSource name="Table24"/>
  </cacheSource>
  <cacheFields count="12">
    <cacheField name="ProductID" numFmtId="0">
      <sharedItems/>
    </cacheField>
    <cacheField name="ProductName" numFmtId="0">
      <sharedItems count="7">
        <s v="Monitor"/>
        <s v="Laptop"/>
        <s v="Tablet"/>
        <s v="Chair"/>
        <s v="Printer"/>
        <s v="Desk"/>
        <s v="Phone"/>
      </sharedItems>
    </cacheField>
    <cacheField name="Category" numFmtId="0">
      <sharedItems count="2">
        <s v="Electronics"/>
        <s v="Furniture"/>
      </sharedItems>
    </cacheField>
    <cacheField name="QuantityInStock" numFmtId="0">
      <sharedItems containsSemiMixedTypes="0" containsString="0" containsNumber="1" containsInteger="1" minValue="0" maxValue="500"/>
    </cacheField>
    <cacheField name="ReorderPoint" numFmtId="0">
      <sharedItems containsSemiMixedTypes="0" containsString="0" containsNumber="1" containsInteger="1" minValue="20" maxValue="100"/>
    </cacheField>
    <cacheField name="stock status" numFmtId="0">
      <sharedItems count="3">
        <s v="Adequate Stock"/>
        <s v="Low Stock"/>
        <s v="Reorder" u="1"/>
      </sharedItems>
    </cacheField>
    <cacheField name="Supplier" numFmtId="0">
      <sharedItems count="4">
        <s v="Global Parts"/>
        <s v="SupplyCo"/>
        <s v="DirectGoods"/>
        <s v="WarePlus"/>
      </sharedItems>
    </cacheField>
    <cacheField name="SupplierContact" numFmtId="0">
      <sharedItems/>
    </cacheField>
    <cacheField name="LeadTime" numFmtId="0">
      <sharedItems containsSemiMixedTypes="0" containsString="0" containsNumber="1" containsInteger="1" minValue="3" maxValue="21"/>
    </cacheField>
    <cacheField name="StorageLocation" numFmtId="0">
      <sharedItems count="5">
        <s v="WH-5"/>
        <s v="WH-4"/>
        <s v="WH-2"/>
        <s v="WH-3"/>
        <s v="WH-1"/>
      </sharedItems>
    </cacheField>
    <cacheField name="UnitCost" numFmtId="0">
      <sharedItems containsSemiMixedTypes="0" containsString="0" containsNumber="1" minValue="2.02" maxValue="199.86"/>
    </cacheField>
    <cacheField name="Inventory value" numFmtId="0">
      <sharedItems containsSemiMixedTypes="0" containsString="0" containsNumber="1" minValue="0" maxValue="94293.7"/>
    </cacheField>
  </cacheFields>
  <extLst>
    <ext xmlns:x14="http://schemas.microsoft.com/office/spreadsheetml/2009/9/main" uri="{725AE2AE-9491-48be-B2B4-4EB974FC3084}">
      <x14:pivotCacheDefinition pivotCacheId="20535162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P98420"/>
    <x v="0"/>
    <x v="0"/>
    <n v="97"/>
    <n v="81"/>
    <x v="0"/>
    <x v="0"/>
    <s v="global parts@example.com"/>
    <n v="17"/>
    <x v="0"/>
    <n v="174.13"/>
    <n v="16890.61"/>
  </r>
  <r>
    <s v="P70372"/>
    <x v="0"/>
    <x v="0"/>
    <n v="229"/>
    <n v="32"/>
    <x v="0"/>
    <x v="1"/>
    <s v="supplyco@example.com"/>
    <n v="19"/>
    <x v="1"/>
    <n v="91.07"/>
    <n v="20855.03"/>
  </r>
  <r>
    <s v="P54851"/>
    <x v="1"/>
    <x v="0"/>
    <n v="15"/>
    <n v="72"/>
    <x v="1"/>
    <x v="0"/>
    <s v="global parts@example.com"/>
    <n v="13"/>
    <x v="0"/>
    <n v="179.93"/>
    <n v="2698.9500000000003"/>
  </r>
  <r>
    <s v="P89338"/>
    <x v="2"/>
    <x v="0"/>
    <n v="35"/>
    <n v="56"/>
    <x v="1"/>
    <x v="0"/>
    <s v="global parts@example.com"/>
    <n v="21"/>
    <x v="2"/>
    <n v="159.55000000000001"/>
    <n v="5584.25"/>
  </r>
  <r>
    <s v="P76449"/>
    <x v="3"/>
    <x v="1"/>
    <n v="442"/>
    <n v="64"/>
    <x v="0"/>
    <x v="2"/>
    <s v="directgoods@example.com"/>
    <n v="8"/>
    <x v="1"/>
    <n v="2.02"/>
    <n v="892.84"/>
  </r>
  <r>
    <s v="P43919"/>
    <x v="1"/>
    <x v="0"/>
    <n v="99"/>
    <n v="79"/>
    <x v="0"/>
    <x v="1"/>
    <s v="supplyco@example.com"/>
    <n v="6"/>
    <x v="0"/>
    <n v="116.17"/>
    <n v="11500.83"/>
  </r>
  <r>
    <s v="P49408"/>
    <x v="1"/>
    <x v="0"/>
    <n v="286"/>
    <n v="33"/>
    <x v="0"/>
    <x v="3"/>
    <s v="wareplus@example.com"/>
    <n v="17"/>
    <x v="3"/>
    <n v="157.27000000000001"/>
    <n v="44979.22"/>
  </r>
  <r>
    <s v="P89124"/>
    <x v="0"/>
    <x v="0"/>
    <n v="228"/>
    <n v="45"/>
    <x v="0"/>
    <x v="0"/>
    <s v="global parts@example.com"/>
    <n v="18"/>
    <x v="0"/>
    <n v="3.93"/>
    <n v="896.04000000000008"/>
  </r>
  <r>
    <s v="P47947"/>
    <x v="2"/>
    <x v="0"/>
    <n v="54"/>
    <n v="99"/>
    <x v="1"/>
    <x v="3"/>
    <s v="wareplus@example.com"/>
    <n v="11"/>
    <x v="3"/>
    <n v="102.09"/>
    <n v="5512.8600000000006"/>
  </r>
  <r>
    <s v="P35719"/>
    <x v="4"/>
    <x v="0"/>
    <n v="396"/>
    <n v="84"/>
    <x v="0"/>
    <x v="3"/>
    <s v="wareplus@example.com"/>
    <n v="17"/>
    <x v="1"/>
    <n v="147.57"/>
    <n v="58437.719999999994"/>
  </r>
  <r>
    <s v="P26057"/>
    <x v="5"/>
    <x v="1"/>
    <n v="163"/>
    <n v="44"/>
    <x v="0"/>
    <x v="0"/>
    <s v="global parts@example.com"/>
    <n v="17"/>
    <x v="0"/>
    <n v="155.35"/>
    <n v="25322.05"/>
  </r>
  <r>
    <s v="P62279"/>
    <x v="4"/>
    <x v="0"/>
    <n v="445"/>
    <n v="80"/>
    <x v="0"/>
    <x v="1"/>
    <s v="supplyco@example.com"/>
    <n v="20"/>
    <x v="4"/>
    <n v="4.07"/>
    <n v="1811.15"/>
  </r>
  <r>
    <s v="P77428"/>
    <x v="3"/>
    <x v="1"/>
    <n v="437"/>
    <n v="83"/>
    <x v="0"/>
    <x v="3"/>
    <s v="wareplus@example.com"/>
    <n v="11"/>
    <x v="2"/>
    <n v="128.82"/>
    <n v="56294.34"/>
  </r>
  <r>
    <s v="P86485"/>
    <x v="3"/>
    <x v="1"/>
    <n v="301"/>
    <n v="27"/>
    <x v="0"/>
    <x v="0"/>
    <s v="global parts@example.com"/>
    <n v="10"/>
    <x v="1"/>
    <n v="66.48"/>
    <n v="20010.48"/>
  </r>
  <r>
    <s v="P60361"/>
    <x v="2"/>
    <x v="0"/>
    <n v="16"/>
    <n v="70"/>
    <x v="1"/>
    <x v="2"/>
    <s v="directgoods@example.com"/>
    <n v="3"/>
    <x v="4"/>
    <n v="182.34"/>
    <n v="2917.44"/>
  </r>
  <r>
    <s v="P65633"/>
    <x v="4"/>
    <x v="0"/>
    <n v="176"/>
    <n v="53"/>
    <x v="0"/>
    <x v="1"/>
    <s v="supplyco@example.com"/>
    <n v="15"/>
    <x v="2"/>
    <n v="68.77"/>
    <n v="12103.519999999999"/>
  </r>
  <r>
    <s v="P17585"/>
    <x v="2"/>
    <x v="0"/>
    <n v="186"/>
    <n v="76"/>
    <x v="0"/>
    <x v="3"/>
    <s v="wareplus@example.com"/>
    <n v="9"/>
    <x v="1"/>
    <n v="47.17"/>
    <n v="8773.6200000000008"/>
  </r>
  <r>
    <s v="P71068"/>
    <x v="4"/>
    <x v="0"/>
    <n v="229"/>
    <n v="72"/>
    <x v="0"/>
    <x v="3"/>
    <s v="wareplus@example.com"/>
    <n v="15"/>
    <x v="3"/>
    <n v="96.59"/>
    <n v="22119.11"/>
  </r>
  <r>
    <s v="P29554"/>
    <x v="6"/>
    <x v="0"/>
    <n v="444"/>
    <n v="33"/>
    <x v="0"/>
    <x v="2"/>
    <s v="directgoods@example.com"/>
    <n v="4"/>
    <x v="1"/>
    <n v="5.48"/>
    <n v="2433.1200000000003"/>
  </r>
  <r>
    <s v="P99352"/>
    <x v="5"/>
    <x v="1"/>
    <n v="405"/>
    <n v="34"/>
    <x v="0"/>
    <x v="3"/>
    <s v="wareplus@example.com"/>
    <n v="17"/>
    <x v="3"/>
    <n v="92.46"/>
    <n v="37446.299999999996"/>
  </r>
  <r>
    <s v="P81659"/>
    <x v="5"/>
    <x v="1"/>
    <n v="132"/>
    <n v="33"/>
    <x v="0"/>
    <x v="0"/>
    <s v="global parts@example.com"/>
    <n v="10"/>
    <x v="4"/>
    <n v="60.53"/>
    <n v="7989.96"/>
  </r>
  <r>
    <s v="P78321"/>
    <x v="5"/>
    <x v="1"/>
    <n v="485"/>
    <n v="64"/>
    <x v="0"/>
    <x v="2"/>
    <s v="directgoods@example.com"/>
    <n v="6"/>
    <x v="4"/>
    <n v="194.42"/>
    <n v="94293.7"/>
  </r>
  <r>
    <s v="P53762"/>
    <x v="5"/>
    <x v="1"/>
    <n v="68"/>
    <n v="39"/>
    <x v="0"/>
    <x v="3"/>
    <s v="wareplus@example.com"/>
    <n v="13"/>
    <x v="3"/>
    <n v="176.51"/>
    <n v="12002.68"/>
  </r>
  <r>
    <s v="P57768"/>
    <x v="2"/>
    <x v="0"/>
    <n v="304"/>
    <n v="30"/>
    <x v="0"/>
    <x v="1"/>
    <s v="supplyco@example.com"/>
    <n v="15"/>
    <x v="0"/>
    <n v="74.44"/>
    <n v="22629.759999999998"/>
  </r>
  <r>
    <s v="P36411"/>
    <x v="6"/>
    <x v="0"/>
    <n v="171"/>
    <n v="60"/>
    <x v="0"/>
    <x v="2"/>
    <s v="directgoods@example.com"/>
    <n v="4"/>
    <x v="1"/>
    <n v="112.65"/>
    <n v="19263.150000000001"/>
  </r>
  <r>
    <s v="P50133"/>
    <x v="0"/>
    <x v="0"/>
    <n v="1"/>
    <n v="55"/>
    <x v="1"/>
    <x v="3"/>
    <s v="wareplus@example.com"/>
    <n v="12"/>
    <x v="3"/>
    <n v="18.690000000000001"/>
    <n v="18.690000000000001"/>
  </r>
  <r>
    <s v="P99281"/>
    <x v="6"/>
    <x v="0"/>
    <n v="322"/>
    <n v="73"/>
    <x v="0"/>
    <x v="1"/>
    <s v="supplyco@example.com"/>
    <n v="9"/>
    <x v="4"/>
    <n v="168.96"/>
    <n v="54405.120000000003"/>
  </r>
  <r>
    <s v="P69659"/>
    <x v="6"/>
    <x v="0"/>
    <n v="291"/>
    <n v="53"/>
    <x v="0"/>
    <x v="1"/>
    <s v="supplyco@example.com"/>
    <n v="10"/>
    <x v="3"/>
    <n v="161.77000000000001"/>
    <n v="47075.07"/>
  </r>
  <r>
    <s v="P21237"/>
    <x v="0"/>
    <x v="0"/>
    <n v="385"/>
    <n v="57"/>
    <x v="0"/>
    <x v="0"/>
    <s v="global parts@example.com"/>
    <n v="10"/>
    <x v="4"/>
    <n v="169.39"/>
    <n v="65215.149999999994"/>
  </r>
  <r>
    <s v="P20593"/>
    <x v="2"/>
    <x v="0"/>
    <n v="285"/>
    <n v="48"/>
    <x v="0"/>
    <x v="2"/>
    <s v="directgoods@example.com"/>
    <n v="20"/>
    <x v="2"/>
    <n v="155.59"/>
    <n v="44343.15"/>
  </r>
  <r>
    <s v="P89248"/>
    <x v="6"/>
    <x v="0"/>
    <n v="253"/>
    <n v="42"/>
    <x v="0"/>
    <x v="2"/>
    <s v="directgoods@example.com"/>
    <n v="11"/>
    <x v="1"/>
    <n v="175.7"/>
    <n v="44452.1"/>
  </r>
  <r>
    <s v="P72326"/>
    <x v="0"/>
    <x v="0"/>
    <n v="374"/>
    <n v="50"/>
    <x v="0"/>
    <x v="2"/>
    <s v="directgoods@example.com"/>
    <n v="6"/>
    <x v="2"/>
    <n v="156.4"/>
    <n v="58493.599999999999"/>
  </r>
  <r>
    <s v="P60678"/>
    <x v="1"/>
    <x v="0"/>
    <n v="221"/>
    <n v="67"/>
    <x v="0"/>
    <x v="3"/>
    <s v="wareplus@example.com"/>
    <n v="19"/>
    <x v="3"/>
    <n v="2.8"/>
    <n v="618.79999999999995"/>
  </r>
  <r>
    <s v="P82988"/>
    <x v="2"/>
    <x v="0"/>
    <n v="476"/>
    <n v="99"/>
    <x v="0"/>
    <x v="1"/>
    <s v="supplyco@example.com"/>
    <n v="17"/>
    <x v="4"/>
    <n v="175.08"/>
    <n v="83338.080000000002"/>
  </r>
  <r>
    <s v="P96720"/>
    <x v="3"/>
    <x v="1"/>
    <n v="73"/>
    <n v="33"/>
    <x v="0"/>
    <x v="3"/>
    <s v="wareplus@example.com"/>
    <n v="6"/>
    <x v="1"/>
    <n v="116.8"/>
    <n v="8526.4"/>
  </r>
  <r>
    <s v="P81820"/>
    <x v="6"/>
    <x v="0"/>
    <n v="367"/>
    <n v="81"/>
    <x v="0"/>
    <x v="2"/>
    <s v="directgoods@example.com"/>
    <n v="14"/>
    <x v="4"/>
    <n v="77.84"/>
    <n v="28567.280000000002"/>
  </r>
  <r>
    <s v="P21469"/>
    <x v="0"/>
    <x v="0"/>
    <n v="314"/>
    <n v="90"/>
    <x v="0"/>
    <x v="1"/>
    <s v="supplyco@example.com"/>
    <n v="8"/>
    <x v="2"/>
    <n v="94.12"/>
    <n v="29553.68"/>
  </r>
  <r>
    <s v="P98261"/>
    <x v="6"/>
    <x v="0"/>
    <n v="38"/>
    <n v="43"/>
    <x v="1"/>
    <x v="1"/>
    <s v="supplyco@example.com"/>
    <n v="14"/>
    <x v="4"/>
    <n v="177.72"/>
    <n v="6753.36"/>
  </r>
  <r>
    <s v="P96491"/>
    <x v="3"/>
    <x v="1"/>
    <n v="423"/>
    <n v="51"/>
    <x v="0"/>
    <x v="3"/>
    <s v="wareplus@example.com"/>
    <n v="21"/>
    <x v="2"/>
    <n v="154.86000000000001"/>
    <n v="65505.780000000006"/>
  </r>
  <r>
    <s v="P53581"/>
    <x v="3"/>
    <x v="1"/>
    <n v="447"/>
    <n v="99"/>
    <x v="0"/>
    <x v="0"/>
    <s v="global parts@example.com"/>
    <n v="9"/>
    <x v="1"/>
    <n v="28.72"/>
    <n v="12837.84"/>
  </r>
  <r>
    <s v="P61869"/>
    <x v="0"/>
    <x v="0"/>
    <n v="379"/>
    <n v="66"/>
    <x v="0"/>
    <x v="3"/>
    <s v="wareplus@example.com"/>
    <n v="18"/>
    <x v="3"/>
    <n v="67.36"/>
    <n v="25529.439999999999"/>
  </r>
  <r>
    <s v="P13049"/>
    <x v="3"/>
    <x v="1"/>
    <n v="479"/>
    <n v="38"/>
    <x v="0"/>
    <x v="2"/>
    <s v="directgoods@example.com"/>
    <n v="21"/>
    <x v="0"/>
    <n v="46.56"/>
    <n v="22302.240000000002"/>
  </r>
  <r>
    <s v="P53476"/>
    <x v="4"/>
    <x v="0"/>
    <n v="14"/>
    <n v="72"/>
    <x v="1"/>
    <x v="1"/>
    <s v="supplyco@example.com"/>
    <n v="21"/>
    <x v="2"/>
    <n v="104.55"/>
    <n v="1463.7"/>
  </r>
  <r>
    <s v="P21452"/>
    <x v="6"/>
    <x v="0"/>
    <n v="223"/>
    <n v="45"/>
    <x v="0"/>
    <x v="0"/>
    <s v="global parts@example.com"/>
    <n v="11"/>
    <x v="1"/>
    <n v="199.86"/>
    <n v="44568.780000000006"/>
  </r>
  <r>
    <s v="P22282"/>
    <x v="4"/>
    <x v="0"/>
    <n v="82"/>
    <n v="98"/>
    <x v="1"/>
    <x v="0"/>
    <s v="global parts@example.com"/>
    <n v="8"/>
    <x v="2"/>
    <n v="183.72"/>
    <n v="15065.039999999999"/>
  </r>
  <r>
    <s v="P90077"/>
    <x v="1"/>
    <x v="0"/>
    <n v="439"/>
    <n v="33"/>
    <x v="0"/>
    <x v="0"/>
    <s v="global parts@example.com"/>
    <n v="18"/>
    <x v="0"/>
    <n v="81.16"/>
    <n v="35629.24"/>
  </r>
  <r>
    <s v="P66075"/>
    <x v="3"/>
    <x v="1"/>
    <n v="430"/>
    <n v="73"/>
    <x v="0"/>
    <x v="1"/>
    <s v="supplyco@example.com"/>
    <n v="9"/>
    <x v="3"/>
    <n v="142.19999999999999"/>
    <n v="61145.999999999993"/>
  </r>
  <r>
    <s v="P28229"/>
    <x v="3"/>
    <x v="1"/>
    <n v="391"/>
    <n v="79"/>
    <x v="0"/>
    <x v="0"/>
    <s v="global parts@example.com"/>
    <n v="14"/>
    <x v="4"/>
    <n v="12.09"/>
    <n v="4727.1899999999996"/>
  </r>
  <r>
    <s v="P30189"/>
    <x v="6"/>
    <x v="0"/>
    <n v="156"/>
    <n v="38"/>
    <x v="0"/>
    <x v="2"/>
    <s v="directgoods@example.com"/>
    <n v="16"/>
    <x v="0"/>
    <n v="42.39"/>
    <n v="6612.84"/>
  </r>
  <r>
    <s v="P40753"/>
    <x v="2"/>
    <x v="0"/>
    <n v="61"/>
    <n v="96"/>
    <x v="1"/>
    <x v="3"/>
    <s v="wareplus@example.com"/>
    <n v="9"/>
    <x v="2"/>
    <n v="132.96"/>
    <n v="8110.56"/>
  </r>
  <r>
    <s v="P79024"/>
    <x v="0"/>
    <x v="0"/>
    <n v="342"/>
    <n v="73"/>
    <x v="0"/>
    <x v="1"/>
    <s v="supplyco@example.com"/>
    <n v="5"/>
    <x v="0"/>
    <n v="56.11"/>
    <n v="19189.62"/>
  </r>
  <r>
    <s v="P64097"/>
    <x v="0"/>
    <x v="0"/>
    <n v="56"/>
    <n v="44"/>
    <x v="0"/>
    <x v="3"/>
    <s v="wareplus@example.com"/>
    <n v="7"/>
    <x v="3"/>
    <n v="87.04"/>
    <n v="4874.2400000000007"/>
  </r>
  <r>
    <s v="P91290"/>
    <x v="6"/>
    <x v="0"/>
    <n v="38"/>
    <n v="35"/>
    <x v="0"/>
    <x v="2"/>
    <s v="directgoods@example.com"/>
    <n v="7"/>
    <x v="4"/>
    <n v="31.88"/>
    <n v="1211.44"/>
  </r>
  <r>
    <s v="P89679"/>
    <x v="1"/>
    <x v="0"/>
    <n v="115"/>
    <n v="81"/>
    <x v="0"/>
    <x v="1"/>
    <s v="supplyco@example.com"/>
    <n v="4"/>
    <x v="1"/>
    <n v="31.74"/>
    <n v="3650.1"/>
  </r>
  <r>
    <s v="P97579"/>
    <x v="0"/>
    <x v="0"/>
    <n v="480"/>
    <n v="91"/>
    <x v="0"/>
    <x v="1"/>
    <s v="supplyco@example.com"/>
    <n v="19"/>
    <x v="4"/>
    <n v="79.510000000000005"/>
    <n v="38164.800000000003"/>
  </r>
  <r>
    <s v="P86569"/>
    <x v="2"/>
    <x v="0"/>
    <n v="327"/>
    <n v="97"/>
    <x v="0"/>
    <x v="1"/>
    <s v="supplyco@example.com"/>
    <n v="7"/>
    <x v="4"/>
    <n v="7.41"/>
    <n v="2423.0700000000002"/>
  </r>
  <r>
    <s v="P36228"/>
    <x v="0"/>
    <x v="0"/>
    <n v="119"/>
    <n v="96"/>
    <x v="0"/>
    <x v="1"/>
    <s v="supplyco@example.com"/>
    <n v="12"/>
    <x v="4"/>
    <n v="28.11"/>
    <n v="3345.09"/>
  </r>
  <r>
    <s v="P59481"/>
    <x v="0"/>
    <x v="0"/>
    <n v="444"/>
    <n v="21"/>
    <x v="0"/>
    <x v="2"/>
    <s v="directgoods@example.com"/>
    <n v="19"/>
    <x v="3"/>
    <n v="124.11"/>
    <n v="55104.84"/>
  </r>
  <r>
    <s v="P95465"/>
    <x v="0"/>
    <x v="0"/>
    <n v="472"/>
    <n v="27"/>
    <x v="0"/>
    <x v="1"/>
    <s v="supplyco@example.com"/>
    <n v="7"/>
    <x v="4"/>
    <n v="101.98"/>
    <n v="48134.560000000005"/>
  </r>
  <r>
    <s v="P15363"/>
    <x v="0"/>
    <x v="0"/>
    <n v="219"/>
    <n v="41"/>
    <x v="0"/>
    <x v="1"/>
    <s v="supplyco@example.com"/>
    <n v="13"/>
    <x v="0"/>
    <n v="165.74"/>
    <n v="36297.060000000005"/>
  </r>
  <r>
    <s v="P93982"/>
    <x v="1"/>
    <x v="0"/>
    <n v="192"/>
    <n v="73"/>
    <x v="0"/>
    <x v="3"/>
    <s v="wareplus@example.com"/>
    <n v="21"/>
    <x v="4"/>
    <n v="87.57"/>
    <n v="16813.439999999999"/>
  </r>
  <r>
    <s v="P89709"/>
    <x v="1"/>
    <x v="0"/>
    <n v="334"/>
    <n v="76"/>
    <x v="0"/>
    <x v="0"/>
    <s v="global parts@example.com"/>
    <n v="9"/>
    <x v="1"/>
    <n v="33.200000000000003"/>
    <n v="11088.800000000001"/>
  </r>
  <r>
    <s v="P18377"/>
    <x v="6"/>
    <x v="0"/>
    <n v="172"/>
    <n v="74"/>
    <x v="0"/>
    <x v="3"/>
    <s v="wareplus@example.com"/>
    <n v="17"/>
    <x v="3"/>
    <n v="75.89"/>
    <n v="13053.08"/>
  </r>
  <r>
    <s v="P63795"/>
    <x v="6"/>
    <x v="0"/>
    <n v="237"/>
    <n v="51"/>
    <x v="0"/>
    <x v="1"/>
    <s v="supplyco@example.com"/>
    <n v="5"/>
    <x v="3"/>
    <n v="155.84"/>
    <n v="36934.080000000002"/>
  </r>
  <r>
    <s v="P94159"/>
    <x v="2"/>
    <x v="0"/>
    <n v="284"/>
    <n v="92"/>
    <x v="0"/>
    <x v="1"/>
    <s v="supplyco@example.com"/>
    <n v="21"/>
    <x v="0"/>
    <n v="175.11"/>
    <n v="49731.240000000005"/>
  </r>
  <r>
    <s v="P80935"/>
    <x v="3"/>
    <x v="1"/>
    <n v="320"/>
    <n v="63"/>
    <x v="0"/>
    <x v="3"/>
    <s v="wareplus@example.com"/>
    <n v="5"/>
    <x v="4"/>
    <n v="15.35"/>
    <n v="4912"/>
  </r>
  <r>
    <s v="P14492"/>
    <x v="3"/>
    <x v="1"/>
    <n v="247"/>
    <n v="77"/>
    <x v="0"/>
    <x v="0"/>
    <s v="global parts@example.com"/>
    <n v="6"/>
    <x v="2"/>
    <n v="181.66"/>
    <n v="44870.02"/>
  </r>
  <r>
    <s v="P90228"/>
    <x v="1"/>
    <x v="0"/>
    <n v="102"/>
    <n v="64"/>
    <x v="0"/>
    <x v="1"/>
    <s v="supplyco@example.com"/>
    <n v="16"/>
    <x v="3"/>
    <n v="41.27"/>
    <n v="4209.54"/>
  </r>
  <r>
    <s v="P28816"/>
    <x v="5"/>
    <x v="1"/>
    <n v="437"/>
    <n v="89"/>
    <x v="0"/>
    <x v="2"/>
    <s v="directgoods@example.com"/>
    <n v="18"/>
    <x v="1"/>
    <n v="76.069999999999993"/>
    <n v="33242.589999999997"/>
  </r>
  <r>
    <s v="P42064"/>
    <x v="6"/>
    <x v="0"/>
    <n v="336"/>
    <n v="25"/>
    <x v="0"/>
    <x v="1"/>
    <s v="supplyco@example.com"/>
    <n v="11"/>
    <x v="2"/>
    <n v="177.48"/>
    <n v="59633.279999999999"/>
  </r>
  <r>
    <s v="P83338"/>
    <x v="5"/>
    <x v="1"/>
    <n v="406"/>
    <n v="57"/>
    <x v="0"/>
    <x v="2"/>
    <s v="directgoods@example.com"/>
    <n v="15"/>
    <x v="3"/>
    <n v="119.65"/>
    <n v="48577.9"/>
  </r>
  <r>
    <s v="P23615"/>
    <x v="2"/>
    <x v="0"/>
    <n v="214"/>
    <n v="91"/>
    <x v="0"/>
    <x v="3"/>
    <s v="wareplus@example.com"/>
    <n v="9"/>
    <x v="4"/>
    <n v="95.8"/>
    <n v="20501.2"/>
  </r>
  <r>
    <s v="P61681"/>
    <x v="5"/>
    <x v="1"/>
    <n v="108"/>
    <n v="56"/>
    <x v="0"/>
    <x v="3"/>
    <s v="wareplus@example.com"/>
    <n v="18"/>
    <x v="0"/>
    <n v="130.58000000000001"/>
    <n v="14102.640000000001"/>
  </r>
  <r>
    <s v="P77280"/>
    <x v="0"/>
    <x v="0"/>
    <n v="48"/>
    <n v="84"/>
    <x v="1"/>
    <x v="3"/>
    <s v="wareplus@example.com"/>
    <n v="18"/>
    <x v="1"/>
    <n v="93.7"/>
    <n v="4497.6000000000004"/>
  </r>
  <r>
    <s v="P87710"/>
    <x v="4"/>
    <x v="0"/>
    <n v="182"/>
    <n v="77"/>
    <x v="0"/>
    <x v="1"/>
    <s v="supplyco@example.com"/>
    <n v="6"/>
    <x v="3"/>
    <n v="61.7"/>
    <n v="11229.4"/>
  </r>
  <r>
    <s v="P51358"/>
    <x v="4"/>
    <x v="0"/>
    <n v="114"/>
    <n v="49"/>
    <x v="0"/>
    <x v="1"/>
    <s v="supplyco@example.com"/>
    <n v="5"/>
    <x v="1"/>
    <n v="121.15"/>
    <n v="13811.1"/>
  </r>
  <r>
    <s v="P50938"/>
    <x v="3"/>
    <x v="1"/>
    <n v="432"/>
    <n v="62"/>
    <x v="0"/>
    <x v="2"/>
    <s v="directgoods@example.com"/>
    <n v="13"/>
    <x v="4"/>
    <n v="75.58"/>
    <n v="32650.559999999998"/>
  </r>
  <r>
    <s v="P61586"/>
    <x v="6"/>
    <x v="0"/>
    <n v="412"/>
    <n v="79"/>
    <x v="0"/>
    <x v="1"/>
    <s v="supplyco@example.com"/>
    <n v="6"/>
    <x v="4"/>
    <n v="166.89"/>
    <n v="68758.679999999993"/>
  </r>
  <r>
    <s v="P86149"/>
    <x v="5"/>
    <x v="1"/>
    <n v="47"/>
    <n v="52"/>
    <x v="1"/>
    <x v="1"/>
    <s v="supplyco@example.com"/>
    <n v="19"/>
    <x v="4"/>
    <n v="153.72999999999999"/>
    <n v="7225.3099999999995"/>
  </r>
  <r>
    <s v="P99637"/>
    <x v="4"/>
    <x v="0"/>
    <n v="354"/>
    <n v="59"/>
    <x v="0"/>
    <x v="2"/>
    <s v="directgoods@example.com"/>
    <n v="6"/>
    <x v="1"/>
    <n v="179.44"/>
    <n v="63521.760000000002"/>
  </r>
  <r>
    <s v="P14743"/>
    <x v="0"/>
    <x v="0"/>
    <n v="197"/>
    <n v="67"/>
    <x v="0"/>
    <x v="1"/>
    <s v="supplyco@example.com"/>
    <n v="19"/>
    <x v="1"/>
    <n v="51.97"/>
    <n v="10238.09"/>
  </r>
  <r>
    <s v="P83525"/>
    <x v="0"/>
    <x v="0"/>
    <n v="472"/>
    <n v="36"/>
    <x v="0"/>
    <x v="3"/>
    <s v="wareplus@example.com"/>
    <n v="18"/>
    <x v="2"/>
    <n v="30.38"/>
    <n v="14339.359999999999"/>
  </r>
  <r>
    <s v="P29383"/>
    <x v="6"/>
    <x v="0"/>
    <n v="346"/>
    <n v="97"/>
    <x v="0"/>
    <x v="2"/>
    <s v="directgoods@example.com"/>
    <n v="11"/>
    <x v="1"/>
    <n v="189.29"/>
    <n v="65494.34"/>
  </r>
  <r>
    <s v="P99435"/>
    <x v="0"/>
    <x v="0"/>
    <n v="280"/>
    <n v="77"/>
    <x v="0"/>
    <x v="0"/>
    <s v="global parts@example.com"/>
    <n v="11"/>
    <x v="0"/>
    <n v="143.97999999999999"/>
    <n v="40314.399999999994"/>
  </r>
  <r>
    <s v="P16521"/>
    <x v="4"/>
    <x v="0"/>
    <n v="89"/>
    <n v="66"/>
    <x v="0"/>
    <x v="3"/>
    <s v="wareplus@example.com"/>
    <n v="21"/>
    <x v="1"/>
    <n v="128.13999999999999"/>
    <n v="11404.46"/>
  </r>
  <r>
    <s v="P76863"/>
    <x v="4"/>
    <x v="0"/>
    <n v="196"/>
    <n v="33"/>
    <x v="0"/>
    <x v="2"/>
    <s v="directgoods@example.com"/>
    <n v="20"/>
    <x v="3"/>
    <n v="154.85"/>
    <n v="30350.6"/>
  </r>
  <r>
    <s v="P17914"/>
    <x v="1"/>
    <x v="0"/>
    <n v="384"/>
    <n v="28"/>
    <x v="0"/>
    <x v="2"/>
    <s v="directgoods@example.com"/>
    <n v="8"/>
    <x v="2"/>
    <n v="90.79"/>
    <n v="34863.360000000001"/>
  </r>
  <r>
    <s v="P85266"/>
    <x v="4"/>
    <x v="0"/>
    <n v="441"/>
    <n v="36"/>
    <x v="0"/>
    <x v="3"/>
    <s v="wareplus@example.com"/>
    <n v="10"/>
    <x v="1"/>
    <n v="58.59"/>
    <n v="25838.190000000002"/>
  </r>
  <r>
    <s v="P37819"/>
    <x v="5"/>
    <x v="1"/>
    <n v="488"/>
    <n v="27"/>
    <x v="0"/>
    <x v="1"/>
    <s v="supplyco@example.com"/>
    <n v="21"/>
    <x v="0"/>
    <n v="105.25"/>
    <n v="51362"/>
  </r>
  <r>
    <s v="P74661"/>
    <x v="1"/>
    <x v="0"/>
    <n v="313"/>
    <n v="35"/>
    <x v="0"/>
    <x v="1"/>
    <s v="supplyco@example.com"/>
    <n v="6"/>
    <x v="0"/>
    <n v="190.59"/>
    <n v="59654.67"/>
  </r>
  <r>
    <s v="P69562"/>
    <x v="3"/>
    <x v="1"/>
    <n v="488"/>
    <n v="77"/>
    <x v="0"/>
    <x v="0"/>
    <s v="global parts@example.com"/>
    <n v="6"/>
    <x v="2"/>
    <n v="36.92"/>
    <n v="18016.96"/>
  </r>
  <r>
    <s v="P55946"/>
    <x v="1"/>
    <x v="0"/>
    <n v="317"/>
    <n v="91"/>
    <x v="0"/>
    <x v="3"/>
    <s v="wareplus@example.com"/>
    <n v="12"/>
    <x v="1"/>
    <n v="103.62"/>
    <n v="32847.54"/>
  </r>
  <r>
    <s v="P15639"/>
    <x v="4"/>
    <x v="0"/>
    <n v="54"/>
    <n v="91"/>
    <x v="1"/>
    <x v="3"/>
    <s v="wareplus@example.com"/>
    <n v="16"/>
    <x v="1"/>
    <n v="180.56"/>
    <n v="9750.24"/>
  </r>
  <r>
    <s v="P50983"/>
    <x v="3"/>
    <x v="1"/>
    <n v="73"/>
    <n v="24"/>
    <x v="0"/>
    <x v="0"/>
    <s v="global parts@example.com"/>
    <n v="19"/>
    <x v="0"/>
    <n v="140.12"/>
    <n v="10228.76"/>
  </r>
  <r>
    <s v="P93086"/>
    <x v="5"/>
    <x v="1"/>
    <n v="64"/>
    <n v="36"/>
    <x v="0"/>
    <x v="1"/>
    <s v="supplyco@example.com"/>
    <n v="3"/>
    <x v="4"/>
    <n v="24.54"/>
    <n v="1570.56"/>
  </r>
  <r>
    <s v="P14686"/>
    <x v="4"/>
    <x v="0"/>
    <n v="261"/>
    <n v="89"/>
    <x v="0"/>
    <x v="1"/>
    <s v="supplyco@example.com"/>
    <n v="12"/>
    <x v="2"/>
    <n v="172.77"/>
    <n v="45092.97"/>
  </r>
  <r>
    <s v="P47358"/>
    <x v="6"/>
    <x v="0"/>
    <n v="11"/>
    <n v="22"/>
    <x v="1"/>
    <x v="3"/>
    <s v="wareplus@example.com"/>
    <n v="18"/>
    <x v="1"/>
    <n v="149.94999999999999"/>
    <n v="1649.4499999999998"/>
  </r>
  <r>
    <s v="P37592"/>
    <x v="5"/>
    <x v="1"/>
    <n v="321"/>
    <n v="61"/>
    <x v="0"/>
    <x v="1"/>
    <s v="supplyco@example.com"/>
    <n v="13"/>
    <x v="2"/>
    <n v="154.34"/>
    <n v="49543.14"/>
  </r>
  <r>
    <s v="P73701"/>
    <x v="4"/>
    <x v="0"/>
    <n v="37"/>
    <n v="71"/>
    <x v="1"/>
    <x v="2"/>
    <s v="directgoods@example.com"/>
    <n v="17"/>
    <x v="2"/>
    <n v="42.11"/>
    <n v="1558.07"/>
  </r>
  <r>
    <s v="P24111"/>
    <x v="1"/>
    <x v="0"/>
    <n v="15"/>
    <n v="66"/>
    <x v="1"/>
    <x v="0"/>
    <s v="global parts@example.com"/>
    <n v="11"/>
    <x v="3"/>
    <n v="125.01"/>
    <n v="1875.15"/>
  </r>
  <r>
    <s v="P66581"/>
    <x v="1"/>
    <x v="0"/>
    <n v="277"/>
    <n v="88"/>
    <x v="0"/>
    <x v="3"/>
    <s v="wareplus@example.com"/>
    <n v="5"/>
    <x v="3"/>
    <n v="96.67"/>
    <n v="26777.59"/>
  </r>
  <r>
    <s v="P55379"/>
    <x v="4"/>
    <x v="0"/>
    <n v="23"/>
    <n v="34"/>
    <x v="1"/>
    <x v="0"/>
    <s v="global parts@example.com"/>
    <n v="17"/>
    <x v="1"/>
    <n v="71.819999999999993"/>
    <n v="1651.86"/>
  </r>
  <r>
    <s v="P12102"/>
    <x v="4"/>
    <x v="0"/>
    <n v="43"/>
    <n v="77"/>
    <x v="1"/>
    <x v="2"/>
    <s v="directgoods@example.com"/>
    <n v="13"/>
    <x v="4"/>
    <n v="153.81"/>
    <n v="6613.83"/>
  </r>
  <r>
    <s v="P42098"/>
    <x v="0"/>
    <x v="0"/>
    <n v="246"/>
    <n v="67"/>
    <x v="0"/>
    <x v="0"/>
    <s v="global parts@example.com"/>
    <n v="8"/>
    <x v="3"/>
    <n v="170.3"/>
    <n v="41893.800000000003"/>
  </r>
  <r>
    <s v="P39669"/>
    <x v="3"/>
    <x v="1"/>
    <n v="493"/>
    <n v="54"/>
    <x v="0"/>
    <x v="0"/>
    <s v="global parts@example.com"/>
    <n v="11"/>
    <x v="1"/>
    <n v="191.08"/>
    <n v="94202.44"/>
  </r>
  <r>
    <s v="P19114"/>
    <x v="4"/>
    <x v="0"/>
    <n v="82"/>
    <n v="68"/>
    <x v="0"/>
    <x v="2"/>
    <s v="directgoods@example.com"/>
    <n v="5"/>
    <x v="3"/>
    <n v="101.97"/>
    <n v="8361.5399999999991"/>
  </r>
  <r>
    <s v="P98289"/>
    <x v="3"/>
    <x v="1"/>
    <n v="125"/>
    <n v="48"/>
    <x v="0"/>
    <x v="3"/>
    <s v="wareplus@example.com"/>
    <n v="8"/>
    <x v="2"/>
    <n v="117.32"/>
    <n v="14665"/>
  </r>
  <r>
    <s v="P91786"/>
    <x v="1"/>
    <x v="0"/>
    <n v="68"/>
    <n v="27"/>
    <x v="0"/>
    <x v="2"/>
    <s v="directgoods@example.com"/>
    <n v="13"/>
    <x v="2"/>
    <n v="28.95"/>
    <n v="1968.6"/>
  </r>
  <r>
    <s v="P53506"/>
    <x v="5"/>
    <x v="1"/>
    <n v="55"/>
    <n v="69"/>
    <x v="1"/>
    <x v="2"/>
    <s v="directgoods@example.com"/>
    <n v="17"/>
    <x v="4"/>
    <n v="88.55"/>
    <n v="4870.25"/>
  </r>
  <r>
    <s v="P98350"/>
    <x v="3"/>
    <x v="1"/>
    <n v="408"/>
    <n v="76"/>
    <x v="0"/>
    <x v="2"/>
    <s v="directgoods@example.com"/>
    <n v="15"/>
    <x v="2"/>
    <n v="197.58"/>
    <n v="80612.639999999999"/>
  </r>
  <r>
    <s v="P22357"/>
    <x v="2"/>
    <x v="0"/>
    <n v="352"/>
    <n v="34"/>
    <x v="0"/>
    <x v="3"/>
    <s v="wareplus@example.com"/>
    <n v="21"/>
    <x v="4"/>
    <n v="181.7"/>
    <n v="63958.399999999994"/>
  </r>
  <r>
    <s v="P51338"/>
    <x v="1"/>
    <x v="0"/>
    <n v="479"/>
    <n v="47"/>
    <x v="0"/>
    <x v="1"/>
    <s v="supplyco@example.com"/>
    <n v="17"/>
    <x v="4"/>
    <n v="133.54"/>
    <n v="63965.659999999996"/>
  </r>
  <r>
    <s v="P19078"/>
    <x v="6"/>
    <x v="0"/>
    <n v="74"/>
    <n v="50"/>
    <x v="0"/>
    <x v="0"/>
    <s v="global parts@example.com"/>
    <n v="14"/>
    <x v="4"/>
    <n v="6.57"/>
    <n v="486.18"/>
  </r>
  <r>
    <s v="P33839"/>
    <x v="6"/>
    <x v="0"/>
    <n v="374"/>
    <n v="68"/>
    <x v="0"/>
    <x v="0"/>
    <s v="global parts@example.com"/>
    <n v="3"/>
    <x v="4"/>
    <n v="165.44"/>
    <n v="61874.559999999998"/>
  </r>
  <r>
    <s v="P50895"/>
    <x v="4"/>
    <x v="0"/>
    <n v="426"/>
    <n v="75"/>
    <x v="0"/>
    <x v="2"/>
    <s v="directgoods@example.com"/>
    <n v="11"/>
    <x v="0"/>
    <n v="127.55"/>
    <n v="54336.299999999996"/>
  </r>
  <r>
    <s v="P10068"/>
    <x v="0"/>
    <x v="0"/>
    <n v="103"/>
    <n v="76"/>
    <x v="0"/>
    <x v="1"/>
    <s v="supplyco@example.com"/>
    <n v="7"/>
    <x v="3"/>
    <n v="115.04"/>
    <n v="11849.12"/>
  </r>
  <r>
    <s v="P27939"/>
    <x v="1"/>
    <x v="0"/>
    <n v="83"/>
    <n v="58"/>
    <x v="0"/>
    <x v="3"/>
    <s v="wareplus@example.com"/>
    <n v="6"/>
    <x v="3"/>
    <n v="75.91"/>
    <n v="6300.53"/>
  </r>
  <r>
    <s v="P57921"/>
    <x v="0"/>
    <x v="0"/>
    <n v="64"/>
    <n v="41"/>
    <x v="0"/>
    <x v="2"/>
    <s v="directgoods@example.com"/>
    <n v="14"/>
    <x v="0"/>
    <n v="189.01"/>
    <n v="12096.64"/>
  </r>
  <r>
    <s v="P65630"/>
    <x v="4"/>
    <x v="0"/>
    <n v="3"/>
    <n v="97"/>
    <x v="1"/>
    <x v="0"/>
    <s v="global parts@example.com"/>
    <n v="8"/>
    <x v="2"/>
    <n v="116.13"/>
    <n v="348.39"/>
  </r>
  <r>
    <s v="P36001"/>
    <x v="0"/>
    <x v="0"/>
    <n v="449"/>
    <n v="67"/>
    <x v="0"/>
    <x v="2"/>
    <s v="directgoods@example.com"/>
    <n v="19"/>
    <x v="3"/>
    <n v="198.55"/>
    <n v="89148.950000000012"/>
  </r>
  <r>
    <s v="P27815"/>
    <x v="1"/>
    <x v="0"/>
    <n v="247"/>
    <n v="23"/>
    <x v="0"/>
    <x v="0"/>
    <s v="global parts@example.com"/>
    <n v="10"/>
    <x v="4"/>
    <n v="185.85"/>
    <n v="45904.95"/>
  </r>
  <r>
    <s v="P46132"/>
    <x v="4"/>
    <x v="0"/>
    <n v="368"/>
    <n v="94"/>
    <x v="0"/>
    <x v="1"/>
    <s v="supplyco@example.com"/>
    <n v="14"/>
    <x v="4"/>
    <n v="110.9"/>
    <n v="40811.200000000004"/>
  </r>
  <r>
    <s v="P70743"/>
    <x v="2"/>
    <x v="0"/>
    <n v="70"/>
    <n v="31"/>
    <x v="0"/>
    <x v="1"/>
    <s v="supplyco@example.com"/>
    <n v="16"/>
    <x v="2"/>
    <n v="118.56"/>
    <n v="8299.2000000000007"/>
  </r>
  <r>
    <s v="P63170"/>
    <x v="5"/>
    <x v="1"/>
    <n v="72"/>
    <n v="86"/>
    <x v="1"/>
    <x v="0"/>
    <s v="global parts@example.com"/>
    <n v="18"/>
    <x v="4"/>
    <n v="50.02"/>
    <n v="3601.44"/>
  </r>
  <r>
    <s v="P88723"/>
    <x v="4"/>
    <x v="0"/>
    <n v="434"/>
    <n v="96"/>
    <x v="0"/>
    <x v="3"/>
    <s v="wareplus@example.com"/>
    <n v="12"/>
    <x v="2"/>
    <n v="35.799999999999997"/>
    <n v="15537.199999999999"/>
  </r>
  <r>
    <s v="P84803"/>
    <x v="1"/>
    <x v="0"/>
    <n v="467"/>
    <n v="70"/>
    <x v="0"/>
    <x v="1"/>
    <s v="supplyco@example.com"/>
    <n v="12"/>
    <x v="2"/>
    <n v="55.94"/>
    <n v="26123.98"/>
  </r>
  <r>
    <s v="P11146"/>
    <x v="5"/>
    <x v="1"/>
    <n v="135"/>
    <n v="79"/>
    <x v="0"/>
    <x v="2"/>
    <s v="directgoods@example.com"/>
    <n v="15"/>
    <x v="4"/>
    <n v="64.23"/>
    <n v="8671.0500000000011"/>
  </r>
  <r>
    <s v="P96823"/>
    <x v="0"/>
    <x v="0"/>
    <n v="429"/>
    <n v="48"/>
    <x v="0"/>
    <x v="1"/>
    <s v="supplyco@example.com"/>
    <n v="14"/>
    <x v="1"/>
    <n v="135.12"/>
    <n v="57966.48"/>
  </r>
  <r>
    <s v="P97323"/>
    <x v="2"/>
    <x v="0"/>
    <n v="109"/>
    <n v="84"/>
    <x v="0"/>
    <x v="2"/>
    <s v="directgoods@example.com"/>
    <n v="8"/>
    <x v="3"/>
    <n v="139.91"/>
    <n v="15250.19"/>
  </r>
  <r>
    <s v="P55271"/>
    <x v="3"/>
    <x v="1"/>
    <n v="324"/>
    <n v="93"/>
    <x v="0"/>
    <x v="3"/>
    <s v="wareplus@example.com"/>
    <n v="3"/>
    <x v="2"/>
    <n v="194.56"/>
    <n v="63037.440000000002"/>
  </r>
  <r>
    <s v="P93459"/>
    <x v="6"/>
    <x v="0"/>
    <n v="90"/>
    <n v="90"/>
    <x v="1"/>
    <x v="3"/>
    <s v="wareplus@example.com"/>
    <n v="7"/>
    <x v="4"/>
    <n v="91.27"/>
    <n v="8214.2999999999993"/>
  </r>
  <r>
    <s v="P26184"/>
    <x v="3"/>
    <x v="1"/>
    <n v="380"/>
    <n v="29"/>
    <x v="0"/>
    <x v="1"/>
    <s v="supplyco@example.com"/>
    <n v="19"/>
    <x v="4"/>
    <n v="51.95"/>
    <n v="19741"/>
  </r>
  <r>
    <s v="P19396"/>
    <x v="2"/>
    <x v="0"/>
    <n v="340"/>
    <n v="48"/>
    <x v="0"/>
    <x v="0"/>
    <s v="global parts@example.com"/>
    <n v="4"/>
    <x v="1"/>
    <n v="50.55"/>
    <n v="17187"/>
  </r>
  <r>
    <s v="P24625"/>
    <x v="2"/>
    <x v="0"/>
    <n v="82"/>
    <n v="98"/>
    <x v="1"/>
    <x v="2"/>
    <s v="directgoods@example.com"/>
    <n v="7"/>
    <x v="0"/>
    <n v="83.69"/>
    <n v="6862.58"/>
  </r>
  <r>
    <s v="P97658"/>
    <x v="0"/>
    <x v="0"/>
    <n v="0"/>
    <n v="98"/>
    <x v="1"/>
    <x v="2"/>
    <s v="directgoods@example.com"/>
    <n v="16"/>
    <x v="1"/>
    <n v="178.12"/>
    <n v="0"/>
  </r>
  <r>
    <s v="P58962"/>
    <x v="1"/>
    <x v="0"/>
    <n v="242"/>
    <n v="61"/>
    <x v="0"/>
    <x v="1"/>
    <s v="supplyco@example.com"/>
    <n v="14"/>
    <x v="0"/>
    <n v="118.66"/>
    <n v="28715.719999999998"/>
  </r>
  <r>
    <s v="P11634"/>
    <x v="1"/>
    <x v="0"/>
    <n v="403"/>
    <n v="99"/>
    <x v="0"/>
    <x v="1"/>
    <s v="supplyco@example.com"/>
    <n v="7"/>
    <x v="4"/>
    <n v="156.72"/>
    <n v="63158.159999999996"/>
  </r>
  <r>
    <s v="P13694"/>
    <x v="3"/>
    <x v="1"/>
    <n v="301"/>
    <n v="52"/>
    <x v="0"/>
    <x v="1"/>
    <s v="supplyco@example.com"/>
    <n v="4"/>
    <x v="1"/>
    <n v="68.489999999999995"/>
    <n v="20615.489999999998"/>
  </r>
  <r>
    <s v="P24284"/>
    <x v="5"/>
    <x v="1"/>
    <n v="92"/>
    <n v="83"/>
    <x v="0"/>
    <x v="2"/>
    <s v="directgoods@example.com"/>
    <n v="3"/>
    <x v="0"/>
    <n v="21.68"/>
    <n v="1994.56"/>
  </r>
  <r>
    <s v="P86691"/>
    <x v="1"/>
    <x v="0"/>
    <n v="453"/>
    <n v="94"/>
    <x v="0"/>
    <x v="0"/>
    <s v="global parts@example.com"/>
    <n v="17"/>
    <x v="4"/>
    <n v="8.67"/>
    <n v="3927.5099999999998"/>
  </r>
  <r>
    <s v="P10317"/>
    <x v="1"/>
    <x v="0"/>
    <n v="348"/>
    <n v="48"/>
    <x v="0"/>
    <x v="1"/>
    <s v="supplyco@example.com"/>
    <n v="18"/>
    <x v="4"/>
    <n v="114.6"/>
    <n v="39880.799999999996"/>
  </r>
  <r>
    <s v="P55359"/>
    <x v="4"/>
    <x v="0"/>
    <n v="128"/>
    <n v="82"/>
    <x v="0"/>
    <x v="2"/>
    <s v="directgoods@example.com"/>
    <n v="11"/>
    <x v="2"/>
    <n v="169.07"/>
    <n v="21640.959999999999"/>
  </r>
  <r>
    <s v="P12822"/>
    <x v="3"/>
    <x v="1"/>
    <n v="325"/>
    <n v="100"/>
    <x v="0"/>
    <x v="1"/>
    <s v="supplyco@example.com"/>
    <n v="16"/>
    <x v="2"/>
    <n v="86.86"/>
    <n v="28229.5"/>
  </r>
  <r>
    <s v="P30386"/>
    <x v="0"/>
    <x v="0"/>
    <n v="230"/>
    <n v="45"/>
    <x v="0"/>
    <x v="2"/>
    <s v="directgoods@example.com"/>
    <n v="9"/>
    <x v="3"/>
    <n v="96.41"/>
    <n v="22174.3"/>
  </r>
  <r>
    <s v="P60442"/>
    <x v="4"/>
    <x v="0"/>
    <n v="108"/>
    <n v="45"/>
    <x v="0"/>
    <x v="2"/>
    <s v="directgoods@example.com"/>
    <n v="15"/>
    <x v="4"/>
    <n v="95.59"/>
    <n v="10323.720000000001"/>
  </r>
  <r>
    <s v="P18012"/>
    <x v="3"/>
    <x v="1"/>
    <n v="44"/>
    <n v="47"/>
    <x v="1"/>
    <x v="2"/>
    <s v="directgoods@example.com"/>
    <n v="20"/>
    <x v="0"/>
    <n v="103.73"/>
    <n v="4564.12"/>
  </r>
  <r>
    <s v="P33125"/>
    <x v="2"/>
    <x v="0"/>
    <n v="95"/>
    <n v="56"/>
    <x v="0"/>
    <x v="3"/>
    <s v="wareplus@example.com"/>
    <n v="13"/>
    <x v="1"/>
    <n v="77.41"/>
    <n v="7353.95"/>
  </r>
  <r>
    <s v="P66338"/>
    <x v="5"/>
    <x v="1"/>
    <n v="112"/>
    <n v="69"/>
    <x v="0"/>
    <x v="0"/>
    <s v="global parts@example.com"/>
    <n v="5"/>
    <x v="4"/>
    <n v="102.27"/>
    <n v="11454.24"/>
  </r>
  <r>
    <s v="P74881"/>
    <x v="1"/>
    <x v="0"/>
    <n v="369"/>
    <n v="97"/>
    <x v="0"/>
    <x v="3"/>
    <s v="wareplus@example.com"/>
    <n v="19"/>
    <x v="1"/>
    <n v="143.97999999999999"/>
    <n v="53128.619999999995"/>
  </r>
  <r>
    <s v="P68854"/>
    <x v="3"/>
    <x v="1"/>
    <n v="457"/>
    <n v="59"/>
    <x v="0"/>
    <x v="3"/>
    <s v="wareplus@example.com"/>
    <n v="5"/>
    <x v="2"/>
    <n v="40.92"/>
    <n v="18700.440000000002"/>
  </r>
  <r>
    <s v="P12805"/>
    <x v="6"/>
    <x v="0"/>
    <n v="170"/>
    <n v="92"/>
    <x v="0"/>
    <x v="3"/>
    <s v="wareplus@example.com"/>
    <n v="18"/>
    <x v="4"/>
    <n v="11.78"/>
    <n v="2002.6"/>
  </r>
  <r>
    <s v="P68890"/>
    <x v="0"/>
    <x v="0"/>
    <n v="316"/>
    <n v="88"/>
    <x v="0"/>
    <x v="1"/>
    <s v="supplyco@example.com"/>
    <n v="6"/>
    <x v="2"/>
    <n v="41.04"/>
    <n v="12968.64"/>
  </r>
  <r>
    <s v="P55573"/>
    <x v="6"/>
    <x v="0"/>
    <n v="234"/>
    <n v="69"/>
    <x v="0"/>
    <x v="3"/>
    <s v="wareplus@example.com"/>
    <n v="6"/>
    <x v="3"/>
    <n v="132.61000000000001"/>
    <n v="31030.74"/>
  </r>
  <r>
    <s v="P28941"/>
    <x v="6"/>
    <x v="0"/>
    <n v="319"/>
    <n v="92"/>
    <x v="0"/>
    <x v="3"/>
    <s v="wareplus@example.com"/>
    <n v="11"/>
    <x v="3"/>
    <n v="20.67"/>
    <n v="6593.7300000000005"/>
  </r>
  <r>
    <s v="P74048"/>
    <x v="4"/>
    <x v="0"/>
    <n v="99"/>
    <n v="94"/>
    <x v="0"/>
    <x v="1"/>
    <s v="supplyco@example.com"/>
    <n v="20"/>
    <x v="3"/>
    <n v="159.72"/>
    <n v="15812.28"/>
  </r>
  <r>
    <s v="P21837"/>
    <x v="1"/>
    <x v="0"/>
    <n v="499"/>
    <n v="52"/>
    <x v="0"/>
    <x v="1"/>
    <s v="supplyco@example.com"/>
    <n v="16"/>
    <x v="3"/>
    <n v="119.94"/>
    <n v="59850.06"/>
  </r>
  <r>
    <s v="P95262"/>
    <x v="2"/>
    <x v="0"/>
    <n v="339"/>
    <n v="22"/>
    <x v="0"/>
    <x v="0"/>
    <s v="global parts@example.com"/>
    <n v="10"/>
    <x v="4"/>
    <n v="14.99"/>
    <n v="5081.6099999999997"/>
  </r>
  <r>
    <s v="P46566"/>
    <x v="5"/>
    <x v="1"/>
    <n v="172"/>
    <n v="41"/>
    <x v="0"/>
    <x v="2"/>
    <s v="directgoods@example.com"/>
    <n v="19"/>
    <x v="1"/>
    <n v="133.44999999999999"/>
    <n v="22953.399999999998"/>
  </r>
  <r>
    <s v="P18575"/>
    <x v="6"/>
    <x v="0"/>
    <n v="406"/>
    <n v="41"/>
    <x v="0"/>
    <x v="0"/>
    <s v="global parts@example.com"/>
    <n v="5"/>
    <x v="2"/>
    <n v="108.66"/>
    <n v="44115.96"/>
  </r>
  <r>
    <s v="P27056"/>
    <x v="0"/>
    <x v="0"/>
    <n v="127"/>
    <n v="50"/>
    <x v="0"/>
    <x v="0"/>
    <s v="global parts@example.com"/>
    <n v="16"/>
    <x v="2"/>
    <n v="37.79"/>
    <n v="4799.33"/>
  </r>
  <r>
    <s v="P38066"/>
    <x v="2"/>
    <x v="0"/>
    <n v="1"/>
    <n v="62"/>
    <x v="1"/>
    <x v="2"/>
    <s v="directgoods@example.com"/>
    <n v="7"/>
    <x v="3"/>
    <n v="42.53"/>
    <n v="42.53"/>
  </r>
  <r>
    <s v="P50748"/>
    <x v="0"/>
    <x v="0"/>
    <n v="13"/>
    <n v="96"/>
    <x v="1"/>
    <x v="0"/>
    <s v="global parts@example.com"/>
    <n v="9"/>
    <x v="0"/>
    <n v="172.49"/>
    <n v="2242.37"/>
  </r>
  <r>
    <s v="P73854"/>
    <x v="6"/>
    <x v="0"/>
    <n v="57"/>
    <n v="67"/>
    <x v="1"/>
    <x v="3"/>
    <s v="wareplus@example.com"/>
    <n v="10"/>
    <x v="4"/>
    <n v="114.89"/>
    <n v="6548.7300000000005"/>
  </r>
  <r>
    <s v="P59539"/>
    <x v="5"/>
    <x v="1"/>
    <n v="469"/>
    <n v="50"/>
    <x v="0"/>
    <x v="1"/>
    <s v="supplyco@example.com"/>
    <n v="21"/>
    <x v="3"/>
    <n v="25.72"/>
    <n v="12062.68"/>
  </r>
  <r>
    <s v="P55993"/>
    <x v="2"/>
    <x v="0"/>
    <n v="387"/>
    <n v="98"/>
    <x v="0"/>
    <x v="2"/>
    <s v="directgoods@example.com"/>
    <n v="13"/>
    <x v="4"/>
    <n v="98.29"/>
    <n v="38038.230000000003"/>
  </r>
  <r>
    <s v="P68807"/>
    <x v="0"/>
    <x v="0"/>
    <n v="440"/>
    <n v="43"/>
    <x v="0"/>
    <x v="0"/>
    <s v="global parts@example.com"/>
    <n v="12"/>
    <x v="0"/>
    <n v="8.98"/>
    <n v="3951.2000000000003"/>
  </r>
  <r>
    <s v="P92524"/>
    <x v="6"/>
    <x v="0"/>
    <n v="426"/>
    <n v="80"/>
    <x v="0"/>
    <x v="2"/>
    <s v="directgoods@example.com"/>
    <n v="20"/>
    <x v="2"/>
    <n v="185.42"/>
    <n v="78988.92"/>
  </r>
  <r>
    <s v="P75730"/>
    <x v="6"/>
    <x v="0"/>
    <n v="317"/>
    <n v="68"/>
    <x v="0"/>
    <x v="1"/>
    <s v="supplyco@example.com"/>
    <n v="8"/>
    <x v="4"/>
    <n v="152.06"/>
    <n v="48203.020000000004"/>
  </r>
  <r>
    <s v="P15958"/>
    <x v="0"/>
    <x v="0"/>
    <n v="38"/>
    <n v="22"/>
    <x v="0"/>
    <x v="2"/>
    <s v="directgoods@example.com"/>
    <n v="15"/>
    <x v="4"/>
    <n v="175.2"/>
    <n v="6657.5999999999995"/>
  </r>
  <r>
    <s v="P94619"/>
    <x v="4"/>
    <x v="0"/>
    <n v="178"/>
    <n v="46"/>
    <x v="0"/>
    <x v="1"/>
    <s v="supplyco@example.com"/>
    <n v="3"/>
    <x v="4"/>
    <n v="126.5"/>
    <n v="22517"/>
  </r>
  <r>
    <s v="P76573"/>
    <x v="4"/>
    <x v="0"/>
    <n v="237"/>
    <n v="65"/>
    <x v="0"/>
    <x v="3"/>
    <s v="wareplus@example.com"/>
    <n v="15"/>
    <x v="3"/>
    <n v="174.24"/>
    <n v="41294.880000000005"/>
  </r>
  <r>
    <s v="P47220"/>
    <x v="6"/>
    <x v="0"/>
    <n v="180"/>
    <n v="92"/>
    <x v="0"/>
    <x v="2"/>
    <s v="directgoods@example.com"/>
    <n v="8"/>
    <x v="4"/>
    <n v="108.19"/>
    <n v="19474.2"/>
  </r>
  <r>
    <s v="P15172"/>
    <x v="2"/>
    <x v="0"/>
    <n v="56"/>
    <n v="64"/>
    <x v="1"/>
    <x v="1"/>
    <s v="supplyco@example.com"/>
    <n v="6"/>
    <x v="2"/>
    <n v="30.21"/>
    <n v="1691.76"/>
  </r>
  <r>
    <s v="P36437"/>
    <x v="5"/>
    <x v="1"/>
    <n v="60"/>
    <n v="74"/>
    <x v="1"/>
    <x v="0"/>
    <s v="global parts@example.com"/>
    <n v="6"/>
    <x v="3"/>
    <n v="39.99"/>
    <n v="2399.4"/>
  </r>
  <r>
    <s v="P42339"/>
    <x v="5"/>
    <x v="1"/>
    <n v="324"/>
    <n v="33"/>
    <x v="0"/>
    <x v="1"/>
    <s v="supplyco@example.com"/>
    <n v="15"/>
    <x v="4"/>
    <n v="125.97"/>
    <n v="40814.28"/>
  </r>
  <r>
    <s v="P38296"/>
    <x v="6"/>
    <x v="0"/>
    <n v="355"/>
    <n v="60"/>
    <x v="0"/>
    <x v="1"/>
    <s v="supplyco@example.com"/>
    <n v="15"/>
    <x v="2"/>
    <n v="27.41"/>
    <n v="9730.5499999999993"/>
  </r>
  <r>
    <s v="P85297"/>
    <x v="5"/>
    <x v="1"/>
    <n v="389"/>
    <n v="30"/>
    <x v="0"/>
    <x v="3"/>
    <s v="wareplus@example.com"/>
    <n v="16"/>
    <x v="2"/>
    <n v="120.88"/>
    <n v="47022.32"/>
  </r>
  <r>
    <s v="P17348"/>
    <x v="6"/>
    <x v="0"/>
    <n v="53"/>
    <n v="47"/>
    <x v="0"/>
    <x v="3"/>
    <s v="wareplus@example.com"/>
    <n v="15"/>
    <x v="1"/>
    <n v="126.32"/>
    <n v="6694.96"/>
  </r>
  <r>
    <s v="P87759"/>
    <x v="0"/>
    <x v="0"/>
    <n v="273"/>
    <n v="60"/>
    <x v="0"/>
    <x v="2"/>
    <s v="directgoods@example.com"/>
    <n v="9"/>
    <x v="1"/>
    <n v="32.35"/>
    <n v="8831.5500000000011"/>
  </r>
  <r>
    <s v="P95243"/>
    <x v="6"/>
    <x v="0"/>
    <n v="27"/>
    <n v="57"/>
    <x v="1"/>
    <x v="0"/>
    <s v="global parts@example.com"/>
    <n v="8"/>
    <x v="1"/>
    <n v="14.36"/>
    <n v="387.71999999999997"/>
  </r>
  <r>
    <s v="P78852"/>
    <x v="4"/>
    <x v="0"/>
    <n v="357"/>
    <n v="44"/>
    <x v="0"/>
    <x v="3"/>
    <s v="wareplus@example.com"/>
    <n v="12"/>
    <x v="1"/>
    <n v="5.73"/>
    <n v="2045.6100000000001"/>
  </r>
  <r>
    <s v="P30445"/>
    <x v="0"/>
    <x v="0"/>
    <n v="414"/>
    <n v="25"/>
    <x v="0"/>
    <x v="2"/>
    <s v="directgoods@example.com"/>
    <n v="20"/>
    <x v="3"/>
    <n v="33.65"/>
    <n v="13931.099999999999"/>
  </r>
  <r>
    <s v="P61382"/>
    <x v="5"/>
    <x v="1"/>
    <n v="406"/>
    <n v="62"/>
    <x v="0"/>
    <x v="2"/>
    <s v="directgoods@example.com"/>
    <n v="4"/>
    <x v="4"/>
    <n v="199.33"/>
    <n v="80927.98000000001"/>
  </r>
  <r>
    <s v="P62508"/>
    <x v="4"/>
    <x v="0"/>
    <n v="422"/>
    <n v="78"/>
    <x v="0"/>
    <x v="0"/>
    <s v="global parts@example.com"/>
    <n v="13"/>
    <x v="4"/>
    <n v="178.68"/>
    <n v="75402.960000000006"/>
  </r>
  <r>
    <s v="P96499"/>
    <x v="2"/>
    <x v="0"/>
    <n v="37"/>
    <n v="49"/>
    <x v="1"/>
    <x v="1"/>
    <s v="supplyco@example.com"/>
    <n v="17"/>
    <x v="4"/>
    <n v="159.78"/>
    <n v="5911.86"/>
  </r>
  <r>
    <s v="P95434"/>
    <x v="1"/>
    <x v="0"/>
    <n v="51"/>
    <n v="26"/>
    <x v="0"/>
    <x v="3"/>
    <s v="wareplus@example.com"/>
    <n v="19"/>
    <x v="3"/>
    <n v="70.77"/>
    <n v="3609.27"/>
  </r>
  <r>
    <s v="P56160"/>
    <x v="5"/>
    <x v="1"/>
    <n v="92"/>
    <n v="40"/>
    <x v="0"/>
    <x v="1"/>
    <s v="supplyco@example.com"/>
    <n v="7"/>
    <x v="2"/>
    <n v="80.959999999999994"/>
    <n v="7448.32"/>
  </r>
  <r>
    <s v="P98900"/>
    <x v="0"/>
    <x v="0"/>
    <n v="173"/>
    <n v="95"/>
    <x v="0"/>
    <x v="0"/>
    <s v="global parts@example.com"/>
    <n v="11"/>
    <x v="3"/>
    <n v="34.26"/>
    <n v="5926.98"/>
  </r>
  <r>
    <s v="P41511"/>
    <x v="4"/>
    <x v="0"/>
    <n v="293"/>
    <n v="81"/>
    <x v="0"/>
    <x v="2"/>
    <s v="directgoods@example.com"/>
    <n v="9"/>
    <x v="0"/>
    <n v="117.96"/>
    <n v="34562.28"/>
  </r>
  <r>
    <s v="P33102"/>
    <x v="2"/>
    <x v="0"/>
    <n v="157"/>
    <n v="68"/>
    <x v="0"/>
    <x v="0"/>
    <s v="global parts@example.com"/>
    <n v="19"/>
    <x v="0"/>
    <n v="90.46"/>
    <n v="14202.22"/>
  </r>
  <r>
    <s v="P36089"/>
    <x v="3"/>
    <x v="1"/>
    <n v="448"/>
    <n v="53"/>
    <x v="0"/>
    <x v="2"/>
    <s v="directgoods@example.com"/>
    <n v="13"/>
    <x v="4"/>
    <n v="152.66999999999999"/>
    <n v="68396.159999999989"/>
  </r>
  <r>
    <s v="P15486"/>
    <x v="3"/>
    <x v="1"/>
    <n v="257"/>
    <n v="46"/>
    <x v="0"/>
    <x v="3"/>
    <s v="wareplus@example.com"/>
    <n v="21"/>
    <x v="2"/>
    <n v="119.23"/>
    <n v="30642.11"/>
  </r>
  <r>
    <s v="P96416"/>
    <x v="5"/>
    <x v="1"/>
    <n v="132"/>
    <n v="55"/>
    <x v="0"/>
    <x v="2"/>
    <s v="directgoods@example.com"/>
    <n v="4"/>
    <x v="3"/>
    <n v="30.93"/>
    <n v="4082.7599999999998"/>
  </r>
  <r>
    <s v="P94252"/>
    <x v="4"/>
    <x v="0"/>
    <n v="462"/>
    <n v="56"/>
    <x v="0"/>
    <x v="1"/>
    <s v="supplyco@example.com"/>
    <n v="14"/>
    <x v="0"/>
    <n v="69.849999999999994"/>
    <n v="32270.699999999997"/>
  </r>
  <r>
    <s v="P27449"/>
    <x v="2"/>
    <x v="0"/>
    <n v="342"/>
    <n v="98"/>
    <x v="0"/>
    <x v="0"/>
    <s v="global parts@example.com"/>
    <n v="11"/>
    <x v="0"/>
    <n v="24.8"/>
    <n v="8481.6"/>
  </r>
  <r>
    <s v="P25365"/>
    <x v="4"/>
    <x v="0"/>
    <n v="104"/>
    <n v="37"/>
    <x v="0"/>
    <x v="0"/>
    <s v="global parts@example.com"/>
    <n v="13"/>
    <x v="4"/>
    <n v="184.82"/>
    <n v="19221.28"/>
  </r>
  <r>
    <s v="P76322"/>
    <x v="2"/>
    <x v="0"/>
    <n v="493"/>
    <n v="64"/>
    <x v="0"/>
    <x v="0"/>
    <s v="global parts@example.com"/>
    <n v="16"/>
    <x v="1"/>
    <n v="148.71"/>
    <n v="73314.03"/>
  </r>
  <r>
    <s v="P98377"/>
    <x v="2"/>
    <x v="0"/>
    <n v="212"/>
    <n v="95"/>
    <x v="0"/>
    <x v="1"/>
    <s v="supplyco@example.com"/>
    <n v="9"/>
    <x v="3"/>
    <n v="146.97999999999999"/>
    <n v="31159.759999999998"/>
  </r>
  <r>
    <s v="P19724"/>
    <x v="2"/>
    <x v="0"/>
    <n v="337"/>
    <n v="49"/>
    <x v="0"/>
    <x v="2"/>
    <s v="directgoods@example.com"/>
    <n v="15"/>
    <x v="1"/>
    <n v="15.87"/>
    <n v="5348.19"/>
  </r>
  <r>
    <s v="P81367"/>
    <x v="4"/>
    <x v="0"/>
    <n v="71"/>
    <n v="50"/>
    <x v="0"/>
    <x v="2"/>
    <s v="directgoods@example.com"/>
    <n v="5"/>
    <x v="2"/>
    <n v="38.58"/>
    <n v="2739.18"/>
  </r>
  <r>
    <s v="P24953"/>
    <x v="1"/>
    <x v="0"/>
    <n v="89"/>
    <n v="31"/>
    <x v="0"/>
    <x v="0"/>
    <s v="global parts@example.com"/>
    <n v="13"/>
    <x v="4"/>
    <n v="142.34"/>
    <n v="12668.26"/>
  </r>
  <r>
    <s v="P90536"/>
    <x v="6"/>
    <x v="0"/>
    <n v="70"/>
    <n v="73"/>
    <x v="1"/>
    <x v="2"/>
    <s v="directgoods@example.com"/>
    <n v="14"/>
    <x v="2"/>
    <n v="49.38"/>
    <n v="3456.6000000000004"/>
  </r>
  <r>
    <s v="P88190"/>
    <x v="0"/>
    <x v="0"/>
    <n v="331"/>
    <n v="85"/>
    <x v="0"/>
    <x v="1"/>
    <s v="supplyco@example.com"/>
    <n v="15"/>
    <x v="2"/>
    <n v="101.27"/>
    <n v="33520.369999999995"/>
  </r>
  <r>
    <s v="P98352"/>
    <x v="2"/>
    <x v="0"/>
    <n v="357"/>
    <n v="82"/>
    <x v="0"/>
    <x v="3"/>
    <s v="wareplus@example.com"/>
    <n v="3"/>
    <x v="4"/>
    <n v="100.15"/>
    <n v="35753.550000000003"/>
  </r>
  <r>
    <s v="P88713"/>
    <x v="1"/>
    <x v="0"/>
    <n v="443"/>
    <n v="61"/>
    <x v="0"/>
    <x v="2"/>
    <s v="directgoods@example.com"/>
    <n v="18"/>
    <x v="1"/>
    <n v="88.96"/>
    <n v="39409.279999999999"/>
  </r>
  <r>
    <s v="P72312"/>
    <x v="1"/>
    <x v="0"/>
    <n v="442"/>
    <n v="61"/>
    <x v="0"/>
    <x v="0"/>
    <s v="global parts@example.com"/>
    <n v="7"/>
    <x v="2"/>
    <n v="74.94"/>
    <n v="33123.479999999996"/>
  </r>
  <r>
    <s v="P29788"/>
    <x v="3"/>
    <x v="1"/>
    <n v="500"/>
    <n v="62"/>
    <x v="0"/>
    <x v="0"/>
    <s v="global parts@example.com"/>
    <n v="9"/>
    <x v="3"/>
    <n v="141.46"/>
    <n v="70730"/>
  </r>
  <r>
    <s v="P15158"/>
    <x v="5"/>
    <x v="1"/>
    <n v="497"/>
    <n v="74"/>
    <x v="0"/>
    <x v="0"/>
    <s v="global parts@example.com"/>
    <n v="20"/>
    <x v="4"/>
    <n v="159.19"/>
    <n v="79117.429999999993"/>
  </r>
  <r>
    <s v="P28444"/>
    <x v="0"/>
    <x v="0"/>
    <n v="440"/>
    <n v="47"/>
    <x v="0"/>
    <x v="2"/>
    <s v="directgoods@example.com"/>
    <n v="17"/>
    <x v="4"/>
    <n v="154.55000000000001"/>
    <n v="68002"/>
  </r>
  <r>
    <s v="P11106"/>
    <x v="6"/>
    <x v="0"/>
    <n v="468"/>
    <n v="99"/>
    <x v="0"/>
    <x v="1"/>
    <s v="supplyco@example.com"/>
    <n v="17"/>
    <x v="3"/>
    <n v="4.8899999999999997"/>
    <n v="2288.52"/>
  </r>
  <r>
    <s v="P82832"/>
    <x v="6"/>
    <x v="0"/>
    <n v="484"/>
    <n v="89"/>
    <x v="0"/>
    <x v="1"/>
    <s v="supplyco@example.com"/>
    <n v="3"/>
    <x v="2"/>
    <n v="121.81"/>
    <n v="58956.04"/>
  </r>
  <r>
    <s v="P52198"/>
    <x v="1"/>
    <x v="0"/>
    <n v="262"/>
    <n v="60"/>
    <x v="0"/>
    <x v="1"/>
    <s v="supplyco@example.com"/>
    <n v="7"/>
    <x v="3"/>
    <n v="157.86000000000001"/>
    <n v="41359.320000000007"/>
  </r>
  <r>
    <s v="P43155"/>
    <x v="2"/>
    <x v="0"/>
    <n v="378"/>
    <n v="64"/>
    <x v="0"/>
    <x v="1"/>
    <s v="supplyco@example.com"/>
    <n v="11"/>
    <x v="2"/>
    <n v="13.9"/>
    <n v="5254.2"/>
  </r>
  <r>
    <s v="P88490"/>
    <x v="1"/>
    <x v="0"/>
    <n v="166"/>
    <n v="94"/>
    <x v="0"/>
    <x v="0"/>
    <s v="global parts@example.com"/>
    <n v="7"/>
    <x v="0"/>
    <n v="30.06"/>
    <n v="4989.96"/>
  </r>
  <r>
    <s v="P62623"/>
    <x v="6"/>
    <x v="0"/>
    <n v="497"/>
    <n v="60"/>
    <x v="0"/>
    <x v="0"/>
    <s v="global parts@example.com"/>
    <n v="21"/>
    <x v="3"/>
    <n v="114.2"/>
    <n v="56757.4"/>
  </r>
  <r>
    <s v="P94534"/>
    <x v="3"/>
    <x v="1"/>
    <n v="146"/>
    <n v="39"/>
    <x v="0"/>
    <x v="2"/>
    <s v="directgoods@example.com"/>
    <n v="5"/>
    <x v="3"/>
    <n v="104.28"/>
    <n v="15224.880000000001"/>
  </r>
  <r>
    <s v="P45431"/>
    <x v="2"/>
    <x v="0"/>
    <n v="363"/>
    <n v="78"/>
    <x v="0"/>
    <x v="0"/>
    <s v="global parts@example.com"/>
    <n v="9"/>
    <x v="3"/>
    <n v="18.68"/>
    <n v="6780.84"/>
  </r>
  <r>
    <s v="P84317"/>
    <x v="4"/>
    <x v="0"/>
    <n v="350"/>
    <n v="49"/>
    <x v="0"/>
    <x v="0"/>
    <s v="global parts@example.com"/>
    <n v="20"/>
    <x v="3"/>
    <n v="136.4"/>
    <n v="47740"/>
  </r>
  <r>
    <s v="P86050"/>
    <x v="0"/>
    <x v="0"/>
    <n v="435"/>
    <n v="54"/>
    <x v="0"/>
    <x v="1"/>
    <s v="supplyco@example.com"/>
    <n v="8"/>
    <x v="3"/>
    <n v="8.35"/>
    <n v="3632.25"/>
  </r>
  <r>
    <s v="P53962"/>
    <x v="5"/>
    <x v="1"/>
    <n v="419"/>
    <n v="79"/>
    <x v="0"/>
    <x v="1"/>
    <s v="supplyco@example.com"/>
    <n v="11"/>
    <x v="1"/>
    <n v="182.07"/>
    <n v="76287.33"/>
  </r>
  <r>
    <s v="P63244"/>
    <x v="1"/>
    <x v="0"/>
    <n v="402"/>
    <n v="48"/>
    <x v="0"/>
    <x v="0"/>
    <s v="global parts@example.com"/>
    <n v="10"/>
    <x v="0"/>
    <n v="74.099999999999994"/>
    <n v="29788.199999999997"/>
  </r>
  <r>
    <s v="P89769"/>
    <x v="0"/>
    <x v="0"/>
    <n v="452"/>
    <n v="74"/>
    <x v="0"/>
    <x v="0"/>
    <s v="global parts@example.com"/>
    <n v="8"/>
    <x v="4"/>
    <n v="83.89"/>
    <n v="37918.28"/>
  </r>
  <r>
    <s v="P40712"/>
    <x v="3"/>
    <x v="1"/>
    <n v="304"/>
    <n v="54"/>
    <x v="0"/>
    <x v="3"/>
    <s v="wareplus@example.com"/>
    <n v="3"/>
    <x v="3"/>
    <n v="43.6"/>
    <n v="13254.4"/>
  </r>
  <r>
    <s v="P49626"/>
    <x v="0"/>
    <x v="0"/>
    <n v="317"/>
    <n v="60"/>
    <x v="0"/>
    <x v="1"/>
    <s v="supplyco@example.com"/>
    <n v="10"/>
    <x v="0"/>
    <n v="172.23"/>
    <n v="54596.909999999996"/>
  </r>
  <r>
    <s v="P76119"/>
    <x v="4"/>
    <x v="0"/>
    <n v="408"/>
    <n v="80"/>
    <x v="0"/>
    <x v="2"/>
    <s v="directgoods@example.com"/>
    <n v="20"/>
    <x v="0"/>
    <n v="140.30000000000001"/>
    <n v="57242.400000000001"/>
  </r>
  <r>
    <s v="P83188"/>
    <x v="1"/>
    <x v="0"/>
    <n v="204"/>
    <n v="47"/>
    <x v="0"/>
    <x v="3"/>
    <s v="wareplus@example.com"/>
    <n v="20"/>
    <x v="0"/>
    <n v="170.32"/>
    <n v="34745.279999999999"/>
  </r>
  <r>
    <s v="P65949"/>
    <x v="0"/>
    <x v="0"/>
    <n v="459"/>
    <n v="51"/>
    <x v="0"/>
    <x v="1"/>
    <s v="supplyco@example.com"/>
    <n v="13"/>
    <x v="3"/>
    <n v="185.81"/>
    <n v="85286.790000000008"/>
  </r>
  <r>
    <s v="P48032"/>
    <x v="6"/>
    <x v="0"/>
    <n v="382"/>
    <n v="67"/>
    <x v="0"/>
    <x v="3"/>
    <s v="wareplus@example.com"/>
    <n v="7"/>
    <x v="4"/>
    <n v="48.29"/>
    <n v="18446.78"/>
  </r>
  <r>
    <s v="P34624"/>
    <x v="3"/>
    <x v="1"/>
    <n v="377"/>
    <n v="39"/>
    <x v="0"/>
    <x v="1"/>
    <s v="supplyco@example.com"/>
    <n v="20"/>
    <x v="0"/>
    <n v="24.68"/>
    <n v="9304.36"/>
  </r>
  <r>
    <s v="P90515"/>
    <x v="4"/>
    <x v="0"/>
    <n v="184"/>
    <n v="25"/>
    <x v="0"/>
    <x v="0"/>
    <s v="global parts@example.com"/>
    <n v="21"/>
    <x v="4"/>
    <n v="34.01"/>
    <n v="6257.8399999999992"/>
  </r>
  <r>
    <s v="P87946"/>
    <x v="4"/>
    <x v="0"/>
    <n v="453"/>
    <n v="92"/>
    <x v="0"/>
    <x v="2"/>
    <s v="directgoods@example.com"/>
    <n v="4"/>
    <x v="1"/>
    <n v="4.3099999999999996"/>
    <n v="1952.4299999999998"/>
  </r>
  <r>
    <s v="P67685"/>
    <x v="0"/>
    <x v="0"/>
    <n v="193"/>
    <n v="43"/>
    <x v="0"/>
    <x v="2"/>
    <s v="directgoods@example.com"/>
    <n v="8"/>
    <x v="2"/>
    <n v="21.87"/>
    <n v="4220.91"/>
  </r>
  <r>
    <s v="P81701"/>
    <x v="2"/>
    <x v="0"/>
    <n v="480"/>
    <n v="24"/>
    <x v="0"/>
    <x v="0"/>
    <s v="global parts@example.com"/>
    <n v="11"/>
    <x v="0"/>
    <n v="16.87"/>
    <n v="8097.6"/>
  </r>
  <r>
    <s v="P51313"/>
    <x v="3"/>
    <x v="1"/>
    <n v="131"/>
    <n v="63"/>
    <x v="0"/>
    <x v="3"/>
    <s v="wareplus@example.com"/>
    <n v="8"/>
    <x v="1"/>
    <n v="122.25"/>
    <n v="16014.75"/>
  </r>
  <r>
    <s v="P20201"/>
    <x v="2"/>
    <x v="0"/>
    <n v="375"/>
    <n v="28"/>
    <x v="0"/>
    <x v="0"/>
    <s v="global parts@example.com"/>
    <n v="5"/>
    <x v="1"/>
    <n v="41.15"/>
    <n v="15431.25"/>
  </r>
  <r>
    <s v="P42764"/>
    <x v="0"/>
    <x v="0"/>
    <n v="82"/>
    <n v="81"/>
    <x v="0"/>
    <x v="1"/>
    <s v="supplyco@example.com"/>
    <n v="11"/>
    <x v="1"/>
    <n v="166.22"/>
    <n v="13630.039999999999"/>
  </r>
  <r>
    <s v="P24215"/>
    <x v="2"/>
    <x v="0"/>
    <n v="390"/>
    <n v="79"/>
    <x v="0"/>
    <x v="3"/>
    <s v="wareplus@example.com"/>
    <n v="11"/>
    <x v="2"/>
    <n v="82.89"/>
    <n v="32327.1"/>
  </r>
  <r>
    <s v="P77441"/>
    <x v="2"/>
    <x v="0"/>
    <n v="39"/>
    <n v="54"/>
    <x v="1"/>
    <x v="3"/>
    <s v="wareplus@example.com"/>
    <n v="7"/>
    <x v="3"/>
    <n v="116.23"/>
    <n v="4532.97"/>
  </r>
  <r>
    <s v="P83765"/>
    <x v="6"/>
    <x v="0"/>
    <n v="36"/>
    <n v="75"/>
    <x v="1"/>
    <x v="1"/>
    <s v="supplyco@example.com"/>
    <n v="16"/>
    <x v="1"/>
    <n v="190.9"/>
    <n v="6872.4000000000005"/>
  </r>
  <r>
    <s v="P45950"/>
    <x v="5"/>
    <x v="1"/>
    <n v="462"/>
    <n v="31"/>
    <x v="0"/>
    <x v="0"/>
    <s v="global parts@example.com"/>
    <n v="9"/>
    <x v="0"/>
    <n v="4.55"/>
    <n v="2102.1"/>
  </r>
  <r>
    <s v="P44982"/>
    <x v="1"/>
    <x v="0"/>
    <n v="184"/>
    <n v="70"/>
    <x v="0"/>
    <x v="1"/>
    <s v="supplyco@example.com"/>
    <n v="15"/>
    <x v="1"/>
    <n v="81.91"/>
    <n v="15071.439999999999"/>
  </r>
  <r>
    <s v="P93320"/>
    <x v="3"/>
    <x v="1"/>
    <n v="133"/>
    <n v="82"/>
    <x v="0"/>
    <x v="3"/>
    <s v="wareplus@example.com"/>
    <n v="5"/>
    <x v="4"/>
    <n v="137.94999999999999"/>
    <n v="18347.349999999999"/>
  </r>
  <r>
    <s v="P26011"/>
    <x v="3"/>
    <x v="1"/>
    <n v="374"/>
    <n v="43"/>
    <x v="0"/>
    <x v="1"/>
    <s v="supplyco@example.com"/>
    <n v="17"/>
    <x v="0"/>
    <n v="130.47"/>
    <n v="48795.78"/>
  </r>
  <r>
    <s v="P84518"/>
    <x v="3"/>
    <x v="1"/>
    <n v="467"/>
    <n v="40"/>
    <x v="0"/>
    <x v="2"/>
    <s v="directgoods@example.com"/>
    <n v="9"/>
    <x v="2"/>
    <n v="192.48"/>
    <n v="89888.159999999989"/>
  </r>
  <r>
    <s v="P65254"/>
    <x v="6"/>
    <x v="0"/>
    <n v="74"/>
    <n v="60"/>
    <x v="0"/>
    <x v="2"/>
    <s v="directgoods@example.com"/>
    <n v="4"/>
    <x v="4"/>
    <n v="170.91"/>
    <n v="12647.34"/>
  </r>
  <r>
    <s v="P88164"/>
    <x v="3"/>
    <x v="1"/>
    <n v="160"/>
    <n v="36"/>
    <x v="0"/>
    <x v="2"/>
    <s v="directgoods@example.com"/>
    <n v="13"/>
    <x v="1"/>
    <n v="115.58"/>
    <n v="18492.8"/>
  </r>
  <r>
    <s v="P83690"/>
    <x v="6"/>
    <x v="0"/>
    <n v="230"/>
    <n v="68"/>
    <x v="0"/>
    <x v="3"/>
    <s v="wareplus@example.com"/>
    <n v="7"/>
    <x v="2"/>
    <n v="37.04"/>
    <n v="8519.1999999999989"/>
  </r>
  <r>
    <s v="P30093"/>
    <x v="3"/>
    <x v="1"/>
    <n v="449"/>
    <n v="47"/>
    <x v="0"/>
    <x v="1"/>
    <s v="supplyco@example.com"/>
    <n v="20"/>
    <x v="3"/>
    <n v="185.29"/>
    <n v="83195.209999999992"/>
  </r>
  <r>
    <s v="P48697"/>
    <x v="1"/>
    <x v="0"/>
    <n v="384"/>
    <n v="29"/>
    <x v="0"/>
    <x v="3"/>
    <s v="wareplus@example.com"/>
    <n v="9"/>
    <x v="0"/>
    <n v="192.91"/>
    <n v="74077.440000000002"/>
  </r>
  <r>
    <s v="P39242"/>
    <x v="1"/>
    <x v="0"/>
    <n v="127"/>
    <n v="70"/>
    <x v="0"/>
    <x v="3"/>
    <s v="wareplus@example.com"/>
    <n v="20"/>
    <x v="2"/>
    <n v="113.72"/>
    <n v="14442.44"/>
  </r>
  <r>
    <s v="P36099"/>
    <x v="6"/>
    <x v="0"/>
    <n v="46"/>
    <n v="29"/>
    <x v="0"/>
    <x v="2"/>
    <s v="directgoods@example.com"/>
    <n v="9"/>
    <x v="3"/>
    <n v="140.75"/>
    <n v="6474.5"/>
  </r>
  <r>
    <s v="P22765"/>
    <x v="4"/>
    <x v="0"/>
    <n v="32"/>
    <n v="76"/>
    <x v="1"/>
    <x v="0"/>
    <s v="global parts@example.com"/>
    <n v="15"/>
    <x v="2"/>
    <n v="86.61"/>
    <n v="2771.52"/>
  </r>
  <r>
    <s v="P12921"/>
    <x v="4"/>
    <x v="0"/>
    <n v="293"/>
    <n v="89"/>
    <x v="0"/>
    <x v="0"/>
    <s v="global parts@example.com"/>
    <n v="12"/>
    <x v="4"/>
    <n v="145.97"/>
    <n v="42769.21"/>
  </r>
  <r>
    <s v="P48568"/>
    <x v="0"/>
    <x v="0"/>
    <n v="63"/>
    <n v="35"/>
    <x v="0"/>
    <x v="0"/>
    <s v="global parts@example.com"/>
    <n v="11"/>
    <x v="4"/>
    <n v="153.03"/>
    <n v="9640.89"/>
  </r>
  <r>
    <s v="P92241"/>
    <x v="3"/>
    <x v="1"/>
    <n v="419"/>
    <n v="23"/>
    <x v="0"/>
    <x v="0"/>
    <s v="global parts@example.com"/>
    <n v="5"/>
    <x v="2"/>
    <n v="67.05"/>
    <n v="28093.949999999997"/>
  </r>
  <r>
    <s v="P15267"/>
    <x v="6"/>
    <x v="0"/>
    <n v="454"/>
    <n v="85"/>
    <x v="0"/>
    <x v="1"/>
    <s v="supplyco@example.com"/>
    <n v="17"/>
    <x v="3"/>
    <n v="6.56"/>
    <n v="2978.24"/>
  </r>
  <r>
    <s v="P10033"/>
    <x v="0"/>
    <x v="0"/>
    <n v="358"/>
    <n v="96"/>
    <x v="0"/>
    <x v="3"/>
    <s v="wareplus@example.com"/>
    <n v="19"/>
    <x v="4"/>
    <n v="120.24"/>
    <n v="43045.919999999998"/>
  </r>
  <r>
    <s v="P30703"/>
    <x v="5"/>
    <x v="1"/>
    <n v="124"/>
    <n v="65"/>
    <x v="0"/>
    <x v="3"/>
    <s v="wareplus@example.com"/>
    <n v="5"/>
    <x v="3"/>
    <n v="90.8"/>
    <n v="11259.199999999999"/>
  </r>
  <r>
    <s v="P19895"/>
    <x v="5"/>
    <x v="1"/>
    <n v="117"/>
    <n v="41"/>
    <x v="0"/>
    <x v="3"/>
    <s v="wareplus@example.com"/>
    <n v="18"/>
    <x v="3"/>
    <n v="22.58"/>
    <n v="2641.8599999999997"/>
  </r>
  <r>
    <s v="P81493"/>
    <x v="6"/>
    <x v="0"/>
    <n v="418"/>
    <n v="67"/>
    <x v="0"/>
    <x v="0"/>
    <s v="global parts@example.com"/>
    <n v="8"/>
    <x v="0"/>
    <n v="119.78"/>
    <n v="50068.04"/>
  </r>
  <r>
    <s v="P53197"/>
    <x v="0"/>
    <x v="0"/>
    <n v="391"/>
    <n v="56"/>
    <x v="0"/>
    <x v="2"/>
    <s v="directgoods@example.com"/>
    <n v="18"/>
    <x v="0"/>
    <n v="168.98"/>
    <n v="66071.179999999993"/>
  </r>
  <r>
    <s v="P31415"/>
    <x v="3"/>
    <x v="1"/>
    <n v="268"/>
    <n v="35"/>
    <x v="0"/>
    <x v="2"/>
    <s v="directgoods@example.com"/>
    <n v="6"/>
    <x v="3"/>
    <n v="34.090000000000003"/>
    <n v="9136.1200000000008"/>
  </r>
  <r>
    <s v="P49081"/>
    <x v="1"/>
    <x v="0"/>
    <n v="234"/>
    <n v="63"/>
    <x v="0"/>
    <x v="2"/>
    <s v="directgoods@example.com"/>
    <n v="18"/>
    <x v="1"/>
    <n v="192.28"/>
    <n v="44993.52"/>
  </r>
  <r>
    <s v="P72372"/>
    <x v="4"/>
    <x v="0"/>
    <n v="498"/>
    <n v="67"/>
    <x v="0"/>
    <x v="1"/>
    <s v="supplyco@example.com"/>
    <n v="5"/>
    <x v="3"/>
    <n v="137.19999999999999"/>
    <n v="68325.599999999991"/>
  </r>
  <r>
    <s v="P62512"/>
    <x v="2"/>
    <x v="0"/>
    <n v="427"/>
    <n v="46"/>
    <x v="0"/>
    <x v="1"/>
    <s v="supplyco@example.com"/>
    <n v="3"/>
    <x v="1"/>
    <n v="106.82"/>
    <n v="45612.14"/>
  </r>
  <r>
    <s v="P91587"/>
    <x v="4"/>
    <x v="0"/>
    <n v="88"/>
    <n v="99"/>
    <x v="1"/>
    <x v="0"/>
    <s v="global parts@example.com"/>
    <n v="17"/>
    <x v="1"/>
    <n v="99.75"/>
    <n v="8778"/>
  </r>
  <r>
    <s v="P38209"/>
    <x v="1"/>
    <x v="0"/>
    <n v="229"/>
    <n v="56"/>
    <x v="0"/>
    <x v="3"/>
    <s v="wareplus@example.com"/>
    <n v="19"/>
    <x v="0"/>
    <n v="162.96"/>
    <n v="37317.840000000004"/>
  </r>
  <r>
    <s v="P92342"/>
    <x v="3"/>
    <x v="1"/>
    <n v="6"/>
    <n v="99"/>
    <x v="1"/>
    <x v="2"/>
    <s v="directgoods@example.com"/>
    <n v="16"/>
    <x v="2"/>
    <n v="69.52"/>
    <n v="417.12"/>
  </r>
  <r>
    <s v="P71381"/>
    <x v="0"/>
    <x v="0"/>
    <n v="33"/>
    <n v="39"/>
    <x v="1"/>
    <x v="0"/>
    <s v="global parts@example.com"/>
    <n v="4"/>
    <x v="0"/>
    <n v="89.01"/>
    <n v="2937.3300000000004"/>
  </r>
  <r>
    <s v="P32116"/>
    <x v="3"/>
    <x v="1"/>
    <n v="25"/>
    <n v="96"/>
    <x v="1"/>
    <x v="0"/>
    <s v="global parts@example.com"/>
    <n v="12"/>
    <x v="3"/>
    <n v="169.69"/>
    <n v="4242.25"/>
  </r>
  <r>
    <s v="P46384"/>
    <x v="4"/>
    <x v="0"/>
    <n v="461"/>
    <n v="94"/>
    <x v="0"/>
    <x v="1"/>
    <s v="supplyco@example.com"/>
    <n v="12"/>
    <x v="3"/>
    <n v="154.96"/>
    <n v="71436.56"/>
  </r>
  <r>
    <s v="P43321"/>
    <x v="2"/>
    <x v="0"/>
    <n v="478"/>
    <n v="54"/>
    <x v="0"/>
    <x v="3"/>
    <s v="wareplus@example.com"/>
    <n v="11"/>
    <x v="2"/>
    <n v="52.86"/>
    <n v="25267.079999999998"/>
  </r>
  <r>
    <s v="P54593"/>
    <x v="1"/>
    <x v="0"/>
    <n v="26"/>
    <n v="51"/>
    <x v="1"/>
    <x v="3"/>
    <s v="wareplus@example.com"/>
    <n v="16"/>
    <x v="0"/>
    <n v="130.44999999999999"/>
    <n v="3391.7"/>
  </r>
  <r>
    <s v="P50154"/>
    <x v="5"/>
    <x v="1"/>
    <n v="230"/>
    <n v="68"/>
    <x v="0"/>
    <x v="3"/>
    <s v="wareplus@example.com"/>
    <n v="17"/>
    <x v="2"/>
    <n v="3.04"/>
    <n v="699.2"/>
  </r>
  <r>
    <s v="P92355"/>
    <x v="3"/>
    <x v="1"/>
    <n v="495"/>
    <n v="27"/>
    <x v="0"/>
    <x v="0"/>
    <s v="global parts@example.com"/>
    <n v="13"/>
    <x v="3"/>
    <n v="5.04"/>
    <n v="2494.8000000000002"/>
  </r>
  <r>
    <s v="P10151"/>
    <x v="3"/>
    <x v="1"/>
    <n v="67"/>
    <n v="65"/>
    <x v="0"/>
    <x v="3"/>
    <s v="wareplus@example.com"/>
    <n v="12"/>
    <x v="1"/>
    <n v="155.16"/>
    <n v="10395.719999999999"/>
  </r>
  <r>
    <s v="P53270"/>
    <x v="5"/>
    <x v="1"/>
    <n v="23"/>
    <n v="66"/>
    <x v="1"/>
    <x v="1"/>
    <s v="supplyco@example.com"/>
    <n v="3"/>
    <x v="4"/>
    <n v="126.67"/>
    <n v="2913.41"/>
  </r>
  <r>
    <s v="P81815"/>
    <x v="0"/>
    <x v="0"/>
    <n v="425"/>
    <n v="78"/>
    <x v="0"/>
    <x v="2"/>
    <s v="directgoods@example.com"/>
    <n v="10"/>
    <x v="2"/>
    <n v="184.33"/>
    <n v="78340.25"/>
  </r>
  <r>
    <s v="P60725"/>
    <x v="1"/>
    <x v="0"/>
    <n v="172"/>
    <n v="62"/>
    <x v="0"/>
    <x v="2"/>
    <s v="directgoods@example.com"/>
    <n v="15"/>
    <x v="3"/>
    <n v="42.52"/>
    <n v="7313.4400000000005"/>
  </r>
  <r>
    <s v="P38737"/>
    <x v="0"/>
    <x v="0"/>
    <n v="364"/>
    <n v="50"/>
    <x v="0"/>
    <x v="1"/>
    <s v="supplyco@example.com"/>
    <n v="11"/>
    <x v="4"/>
    <n v="165.7"/>
    <n v="60314.799999999996"/>
  </r>
  <r>
    <s v="P60732"/>
    <x v="2"/>
    <x v="0"/>
    <n v="291"/>
    <n v="44"/>
    <x v="0"/>
    <x v="0"/>
    <s v="global parts@example.com"/>
    <n v="21"/>
    <x v="2"/>
    <n v="161.43"/>
    <n v="46976.130000000005"/>
  </r>
  <r>
    <s v="P42012"/>
    <x v="1"/>
    <x v="0"/>
    <n v="220"/>
    <n v="36"/>
    <x v="0"/>
    <x v="3"/>
    <s v="wareplus@example.com"/>
    <n v="15"/>
    <x v="3"/>
    <n v="126.97"/>
    <n v="27933.4"/>
  </r>
  <r>
    <s v="P90590"/>
    <x v="1"/>
    <x v="0"/>
    <n v="275"/>
    <n v="38"/>
    <x v="0"/>
    <x v="1"/>
    <s v="supplyco@example.com"/>
    <n v="21"/>
    <x v="0"/>
    <n v="87.66"/>
    <n v="24106.5"/>
  </r>
  <r>
    <s v="P61234"/>
    <x v="6"/>
    <x v="0"/>
    <n v="101"/>
    <n v="81"/>
    <x v="0"/>
    <x v="1"/>
    <s v="supplyco@example.com"/>
    <n v="6"/>
    <x v="4"/>
    <n v="53.16"/>
    <n v="5369.16"/>
  </r>
  <r>
    <s v="P54928"/>
    <x v="2"/>
    <x v="0"/>
    <n v="19"/>
    <n v="100"/>
    <x v="1"/>
    <x v="3"/>
    <s v="wareplus@example.com"/>
    <n v="11"/>
    <x v="3"/>
    <n v="172.82"/>
    <n v="3283.58"/>
  </r>
  <r>
    <s v="P51227"/>
    <x v="2"/>
    <x v="0"/>
    <n v="294"/>
    <n v="78"/>
    <x v="0"/>
    <x v="3"/>
    <s v="wareplus@example.com"/>
    <n v="13"/>
    <x v="1"/>
    <n v="87.86"/>
    <n v="25830.84"/>
  </r>
  <r>
    <s v="P51951"/>
    <x v="0"/>
    <x v="0"/>
    <n v="217"/>
    <n v="20"/>
    <x v="0"/>
    <x v="3"/>
    <s v="wareplus@example.com"/>
    <n v="17"/>
    <x v="2"/>
    <n v="21.52"/>
    <n v="4669.84"/>
  </r>
  <r>
    <s v="P52133"/>
    <x v="5"/>
    <x v="1"/>
    <n v="368"/>
    <n v="59"/>
    <x v="0"/>
    <x v="0"/>
    <s v="global parts@example.com"/>
    <n v="11"/>
    <x v="3"/>
    <n v="80.069999999999993"/>
    <n v="29465.759999999998"/>
  </r>
  <r>
    <s v="P89046"/>
    <x v="3"/>
    <x v="1"/>
    <n v="486"/>
    <n v="34"/>
    <x v="0"/>
    <x v="1"/>
    <s v="supplyco@example.com"/>
    <n v="12"/>
    <x v="0"/>
    <n v="85.9"/>
    <n v="41747.4"/>
  </r>
  <r>
    <s v="P11964"/>
    <x v="2"/>
    <x v="0"/>
    <n v="96"/>
    <n v="44"/>
    <x v="0"/>
    <x v="3"/>
    <s v="wareplus@example.com"/>
    <n v="15"/>
    <x v="3"/>
    <n v="86.87"/>
    <n v="8339.52"/>
  </r>
  <r>
    <s v="P99070"/>
    <x v="5"/>
    <x v="1"/>
    <n v="100"/>
    <n v="87"/>
    <x v="0"/>
    <x v="1"/>
    <s v="supplyco@example.com"/>
    <n v="15"/>
    <x v="0"/>
    <n v="145.15"/>
    <n v="14515"/>
  </r>
  <r>
    <s v="P75593"/>
    <x v="4"/>
    <x v="0"/>
    <n v="286"/>
    <n v="70"/>
    <x v="0"/>
    <x v="3"/>
    <s v="wareplus@example.com"/>
    <n v="9"/>
    <x v="2"/>
    <n v="94.73"/>
    <n v="27092.780000000002"/>
  </r>
  <r>
    <s v="P93051"/>
    <x v="1"/>
    <x v="0"/>
    <n v="282"/>
    <n v="74"/>
    <x v="0"/>
    <x v="2"/>
    <s v="directgoods@example.com"/>
    <n v="6"/>
    <x v="4"/>
    <n v="26.62"/>
    <n v="7506.84"/>
  </r>
  <r>
    <s v="P55481"/>
    <x v="0"/>
    <x v="0"/>
    <n v="407"/>
    <n v="97"/>
    <x v="0"/>
    <x v="0"/>
    <s v="global parts@example.com"/>
    <n v="4"/>
    <x v="4"/>
    <n v="33.81"/>
    <n v="13760.67"/>
  </r>
  <r>
    <s v="P70755"/>
    <x v="4"/>
    <x v="0"/>
    <n v="248"/>
    <n v="71"/>
    <x v="0"/>
    <x v="1"/>
    <s v="supplyco@example.com"/>
    <n v="15"/>
    <x v="4"/>
    <n v="13.94"/>
    <n v="3457.12"/>
  </r>
  <r>
    <s v="P17694"/>
    <x v="4"/>
    <x v="0"/>
    <n v="285"/>
    <n v="47"/>
    <x v="0"/>
    <x v="1"/>
    <s v="supplyco@example.com"/>
    <n v="17"/>
    <x v="0"/>
    <n v="55.89"/>
    <n v="15928.65"/>
  </r>
  <r>
    <s v="P23051"/>
    <x v="1"/>
    <x v="0"/>
    <n v="227"/>
    <n v="59"/>
    <x v="0"/>
    <x v="3"/>
    <s v="wareplus@example.com"/>
    <n v="4"/>
    <x v="4"/>
    <n v="146.75"/>
    <n v="33312.25"/>
  </r>
  <r>
    <s v="P18983"/>
    <x v="4"/>
    <x v="0"/>
    <n v="430"/>
    <n v="31"/>
    <x v="0"/>
    <x v="0"/>
    <s v="global parts@example.com"/>
    <n v="14"/>
    <x v="4"/>
    <n v="83.2"/>
    <n v="35776"/>
  </r>
  <r>
    <s v="P53340"/>
    <x v="4"/>
    <x v="0"/>
    <n v="495"/>
    <n v="91"/>
    <x v="0"/>
    <x v="0"/>
    <s v="global parts@example.com"/>
    <n v="7"/>
    <x v="2"/>
    <n v="56.63"/>
    <n v="28031.850000000002"/>
  </r>
  <r>
    <s v="P21967"/>
    <x v="1"/>
    <x v="0"/>
    <n v="50"/>
    <n v="47"/>
    <x v="0"/>
    <x v="0"/>
    <s v="global parts@example.com"/>
    <n v="13"/>
    <x v="2"/>
    <n v="175.1"/>
    <n v="8755"/>
  </r>
  <r>
    <s v="P75535"/>
    <x v="4"/>
    <x v="0"/>
    <n v="356"/>
    <n v="29"/>
    <x v="0"/>
    <x v="0"/>
    <s v="global parts@example.com"/>
    <n v="11"/>
    <x v="0"/>
    <n v="171.48"/>
    <n v="61046.879999999997"/>
  </r>
  <r>
    <s v="P58587"/>
    <x v="6"/>
    <x v="0"/>
    <n v="115"/>
    <n v="32"/>
    <x v="0"/>
    <x v="3"/>
    <s v="wareplus@example.com"/>
    <n v="21"/>
    <x v="0"/>
    <n v="187.89"/>
    <n v="21607.35"/>
  </r>
  <r>
    <s v="P54665"/>
    <x v="3"/>
    <x v="1"/>
    <n v="307"/>
    <n v="29"/>
    <x v="0"/>
    <x v="3"/>
    <s v="wareplus@example.com"/>
    <n v="7"/>
    <x v="0"/>
    <n v="27.86"/>
    <n v="8553.02"/>
  </r>
  <r>
    <s v="P89326"/>
    <x v="2"/>
    <x v="0"/>
    <n v="469"/>
    <n v="45"/>
    <x v="0"/>
    <x v="0"/>
    <s v="global parts@example.com"/>
    <n v="18"/>
    <x v="0"/>
    <n v="146.4"/>
    <n v="68661.600000000006"/>
  </r>
  <r>
    <s v="P94306"/>
    <x v="6"/>
    <x v="0"/>
    <n v="338"/>
    <n v="81"/>
    <x v="0"/>
    <x v="0"/>
    <s v="global parts@example.com"/>
    <n v="3"/>
    <x v="1"/>
    <n v="179.36"/>
    <n v="60623.680000000008"/>
  </r>
  <r>
    <s v="P74136"/>
    <x v="0"/>
    <x v="0"/>
    <n v="407"/>
    <n v="63"/>
    <x v="0"/>
    <x v="2"/>
    <s v="directgoods@example.com"/>
    <n v="17"/>
    <x v="3"/>
    <n v="104.59"/>
    <n v="42568.130000000005"/>
  </r>
  <r>
    <s v="P19622"/>
    <x v="6"/>
    <x v="0"/>
    <n v="230"/>
    <n v="87"/>
    <x v="0"/>
    <x v="3"/>
    <s v="wareplus@example.com"/>
    <n v="11"/>
    <x v="2"/>
    <n v="27.43"/>
    <n v="6308.9"/>
  </r>
  <r>
    <s v="P91269"/>
    <x v="5"/>
    <x v="1"/>
    <n v="323"/>
    <n v="63"/>
    <x v="0"/>
    <x v="0"/>
    <s v="global parts@example.com"/>
    <n v="16"/>
    <x v="1"/>
    <n v="152.49"/>
    <n v="49254.270000000004"/>
  </r>
  <r>
    <s v="P97427"/>
    <x v="2"/>
    <x v="0"/>
    <n v="427"/>
    <n v="41"/>
    <x v="0"/>
    <x v="1"/>
    <s v="supplyco@example.com"/>
    <n v="16"/>
    <x v="1"/>
    <n v="199.34"/>
    <n v="85118.180000000008"/>
  </r>
  <r>
    <s v="P81811"/>
    <x v="6"/>
    <x v="0"/>
    <n v="390"/>
    <n v="73"/>
    <x v="0"/>
    <x v="2"/>
    <s v="directgoods@example.com"/>
    <n v="6"/>
    <x v="3"/>
    <n v="48.68"/>
    <n v="18985.2"/>
  </r>
  <r>
    <s v="P88340"/>
    <x v="6"/>
    <x v="0"/>
    <n v="117"/>
    <n v="40"/>
    <x v="0"/>
    <x v="3"/>
    <s v="wareplus@example.com"/>
    <n v="11"/>
    <x v="3"/>
    <n v="116.57"/>
    <n v="13638.689999999999"/>
  </r>
  <r>
    <s v="P53573"/>
    <x v="2"/>
    <x v="0"/>
    <n v="331"/>
    <n v="81"/>
    <x v="0"/>
    <x v="0"/>
    <s v="global parts@example.com"/>
    <n v="11"/>
    <x v="0"/>
    <n v="162.51"/>
    <n v="53790.81"/>
  </r>
  <r>
    <s v="P69142"/>
    <x v="6"/>
    <x v="0"/>
    <n v="500"/>
    <n v="50"/>
    <x v="0"/>
    <x v="0"/>
    <s v="global parts@example.com"/>
    <n v="21"/>
    <x v="3"/>
    <n v="49.58"/>
    <n v="24790"/>
  </r>
  <r>
    <s v="P53154"/>
    <x v="2"/>
    <x v="0"/>
    <n v="57"/>
    <n v="89"/>
    <x v="1"/>
    <x v="2"/>
    <s v="directgoods@example.com"/>
    <n v="17"/>
    <x v="2"/>
    <n v="17.64"/>
    <n v="1005.48"/>
  </r>
  <r>
    <s v="P56159"/>
    <x v="6"/>
    <x v="0"/>
    <n v="102"/>
    <n v="89"/>
    <x v="0"/>
    <x v="0"/>
    <s v="global parts@example.com"/>
    <n v="19"/>
    <x v="2"/>
    <n v="31.12"/>
    <n v="3174.2400000000002"/>
  </r>
  <r>
    <s v="P87175"/>
    <x v="1"/>
    <x v="0"/>
    <n v="388"/>
    <n v="81"/>
    <x v="0"/>
    <x v="1"/>
    <s v="supplyco@example.com"/>
    <n v="15"/>
    <x v="1"/>
    <n v="156.69999999999999"/>
    <n v="60799.6"/>
  </r>
  <r>
    <s v="P95235"/>
    <x v="3"/>
    <x v="1"/>
    <n v="120"/>
    <n v="26"/>
    <x v="0"/>
    <x v="2"/>
    <s v="directgoods@example.com"/>
    <n v="18"/>
    <x v="3"/>
    <n v="169.54"/>
    <n v="20344.8"/>
  </r>
  <r>
    <s v="P25309"/>
    <x v="6"/>
    <x v="0"/>
    <n v="133"/>
    <n v="92"/>
    <x v="0"/>
    <x v="3"/>
    <s v="wareplus@example.com"/>
    <n v="18"/>
    <x v="0"/>
    <n v="30.42"/>
    <n v="4045.86"/>
  </r>
  <r>
    <s v="P26699"/>
    <x v="1"/>
    <x v="0"/>
    <n v="52"/>
    <n v="27"/>
    <x v="0"/>
    <x v="0"/>
    <s v="global parts@example.com"/>
    <n v="5"/>
    <x v="2"/>
    <n v="114.05"/>
    <n v="5930.5999999999995"/>
  </r>
  <r>
    <s v="P36617"/>
    <x v="4"/>
    <x v="0"/>
    <n v="68"/>
    <n v="46"/>
    <x v="0"/>
    <x v="2"/>
    <s v="directgoods@example.com"/>
    <n v="8"/>
    <x v="1"/>
    <n v="114.28"/>
    <n v="7771.04"/>
  </r>
  <r>
    <s v="P50875"/>
    <x v="4"/>
    <x v="0"/>
    <n v="125"/>
    <n v="75"/>
    <x v="0"/>
    <x v="3"/>
    <s v="wareplus@example.com"/>
    <n v="3"/>
    <x v="3"/>
    <n v="19.350000000000001"/>
    <n v="2418.75"/>
  </r>
  <r>
    <s v="P36962"/>
    <x v="1"/>
    <x v="0"/>
    <n v="261"/>
    <n v="32"/>
    <x v="0"/>
    <x v="3"/>
    <s v="wareplus@example.com"/>
    <n v="4"/>
    <x v="1"/>
    <n v="169.15"/>
    <n v="44148.15"/>
  </r>
  <r>
    <s v="P31938"/>
    <x v="5"/>
    <x v="1"/>
    <n v="218"/>
    <n v="90"/>
    <x v="0"/>
    <x v="1"/>
    <s v="supplyco@example.com"/>
    <n v="9"/>
    <x v="2"/>
    <n v="114.43"/>
    <n v="24945.74"/>
  </r>
  <r>
    <s v="P70967"/>
    <x v="5"/>
    <x v="1"/>
    <n v="290"/>
    <n v="99"/>
    <x v="0"/>
    <x v="3"/>
    <s v="wareplus@example.com"/>
    <n v="6"/>
    <x v="0"/>
    <n v="61.78"/>
    <n v="17916.2"/>
  </r>
  <r>
    <s v="P93014"/>
    <x v="4"/>
    <x v="0"/>
    <n v="48"/>
    <n v="31"/>
    <x v="0"/>
    <x v="2"/>
    <s v="directgoods@example.com"/>
    <n v="12"/>
    <x v="3"/>
    <n v="165.02"/>
    <n v="7920.9600000000009"/>
  </r>
  <r>
    <s v="P78255"/>
    <x v="5"/>
    <x v="1"/>
    <n v="380"/>
    <n v="50"/>
    <x v="0"/>
    <x v="3"/>
    <s v="wareplus@example.com"/>
    <n v="5"/>
    <x v="1"/>
    <n v="65.42"/>
    <n v="24859.600000000002"/>
  </r>
  <r>
    <s v="P74004"/>
    <x v="1"/>
    <x v="0"/>
    <n v="369"/>
    <n v="53"/>
    <x v="0"/>
    <x v="3"/>
    <s v="wareplus@example.com"/>
    <n v="17"/>
    <x v="4"/>
    <n v="164.41"/>
    <n v="60667.29"/>
  </r>
  <r>
    <s v="P66696"/>
    <x v="6"/>
    <x v="0"/>
    <n v="119"/>
    <n v="44"/>
    <x v="0"/>
    <x v="3"/>
    <s v="wareplus@example.com"/>
    <n v="17"/>
    <x v="4"/>
    <n v="25.82"/>
    <n v="3072.58"/>
  </r>
  <r>
    <s v="P42630"/>
    <x v="3"/>
    <x v="1"/>
    <n v="101"/>
    <n v="38"/>
    <x v="0"/>
    <x v="0"/>
    <s v="global parts@example.com"/>
    <n v="17"/>
    <x v="4"/>
    <n v="8.77"/>
    <n v="885.77"/>
  </r>
  <r>
    <s v="P62969"/>
    <x v="2"/>
    <x v="0"/>
    <n v="294"/>
    <n v="47"/>
    <x v="0"/>
    <x v="3"/>
    <s v="wareplus@example.com"/>
    <n v="13"/>
    <x v="1"/>
    <n v="64.73"/>
    <n v="19030.620000000003"/>
  </r>
  <r>
    <s v="P76095"/>
    <x v="5"/>
    <x v="1"/>
    <n v="457"/>
    <n v="51"/>
    <x v="0"/>
    <x v="0"/>
    <s v="global parts@example.com"/>
    <n v="14"/>
    <x v="1"/>
    <n v="58.57"/>
    <n v="26766.49"/>
  </r>
  <r>
    <s v="P81902"/>
    <x v="0"/>
    <x v="0"/>
    <n v="386"/>
    <n v="67"/>
    <x v="0"/>
    <x v="3"/>
    <s v="wareplus@example.com"/>
    <n v="10"/>
    <x v="0"/>
    <n v="78.09"/>
    <n v="30142.74"/>
  </r>
  <r>
    <s v="P18361"/>
    <x v="4"/>
    <x v="0"/>
    <n v="246"/>
    <n v="52"/>
    <x v="0"/>
    <x v="0"/>
    <s v="global parts@example.com"/>
    <n v="16"/>
    <x v="3"/>
    <n v="22.13"/>
    <n v="5443.98"/>
  </r>
  <r>
    <s v="P41325"/>
    <x v="2"/>
    <x v="0"/>
    <n v="103"/>
    <n v="65"/>
    <x v="0"/>
    <x v="0"/>
    <s v="global parts@example.com"/>
    <n v="19"/>
    <x v="2"/>
    <n v="87.99"/>
    <n v="9062.9699999999993"/>
  </r>
  <r>
    <s v="P52117"/>
    <x v="1"/>
    <x v="0"/>
    <n v="27"/>
    <n v="74"/>
    <x v="1"/>
    <x v="0"/>
    <s v="global parts@example.com"/>
    <n v="14"/>
    <x v="0"/>
    <n v="41.8"/>
    <n v="1128.5999999999999"/>
  </r>
  <r>
    <s v="P56750"/>
    <x v="2"/>
    <x v="0"/>
    <n v="145"/>
    <n v="55"/>
    <x v="0"/>
    <x v="0"/>
    <s v="global parts@example.com"/>
    <n v="19"/>
    <x v="1"/>
    <n v="87.22"/>
    <n v="12646.9"/>
  </r>
  <r>
    <s v="P61220"/>
    <x v="3"/>
    <x v="1"/>
    <n v="74"/>
    <n v="98"/>
    <x v="1"/>
    <x v="0"/>
    <s v="global parts@example.com"/>
    <n v="9"/>
    <x v="0"/>
    <n v="142.01"/>
    <n v="10508.74"/>
  </r>
  <r>
    <s v="P90552"/>
    <x v="4"/>
    <x v="0"/>
    <n v="297"/>
    <n v="52"/>
    <x v="0"/>
    <x v="2"/>
    <s v="directgoods@example.com"/>
    <n v="5"/>
    <x v="2"/>
    <n v="13.98"/>
    <n v="4152.0600000000004"/>
  </r>
  <r>
    <s v="P42422"/>
    <x v="0"/>
    <x v="0"/>
    <n v="388"/>
    <n v="99"/>
    <x v="0"/>
    <x v="2"/>
    <s v="directgoods@example.com"/>
    <n v="3"/>
    <x v="1"/>
    <n v="31.51"/>
    <n v="12225.880000000001"/>
  </r>
  <r>
    <s v="P74719"/>
    <x v="3"/>
    <x v="1"/>
    <n v="19"/>
    <n v="93"/>
    <x v="1"/>
    <x v="2"/>
    <s v="directgoods@example.com"/>
    <n v="21"/>
    <x v="3"/>
    <n v="65.28"/>
    <n v="1240.32"/>
  </r>
  <r>
    <s v="P11499"/>
    <x v="5"/>
    <x v="1"/>
    <n v="438"/>
    <n v="39"/>
    <x v="0"/>
    <x v="0"/>
    <s v="global parts@example.com"/>
    <n v="14"/>
    <x v="0"/>
    <n v="62.75"/>
    <n v="27484.5"/>
  </r>
  <r>
    <s v="P57241"/>
    <x v="5"/>
    <x v="1"/>
    <n v="9"/>
    <n v="83"/>
    <x v="1"/>
    <x v="1"/>
    <s v="supplyco@example.com"/>
    <n v="7"/>
    <x v="0"/>
    <n v="15.86"/>
    <n v="142.74"/>
  </r>
  <r>
    <s v="P64035"/>
    <x v="2"/>
    <x v="0"/>
    <n v="221"/>
    <n v="100"/>
    <x v="0"/>
    <x v="1"/>
    <s v="supplyco@example.com"/>
    <n v="10"/>
    <x v="2"/>
    <n v="41.02"/>
    <n v="9065.42"/>
  </r>
  <r>
    <s v="P39228"/>
    <x v="2"/>
    <x v="0"/>
    <n v="293"/>
    <n v="40"/>
    <x v="0"/>
    <x v="0"/>
    <s v="global parts@example.com"/>
    <n v="9"/>
    <x v="3"/>
    <n v="112.22"/>
    <n v="32880.46"/>
  </r>
  <r>
    <s v="P82659"/>
    <x v="3"/>
    <x v="1"/>
    <n v="4"/>
    <n v="96"/>
    <x v="1"/>
    <x v="0"/>
    <s v="global parts@example.com"/>
    <n v="16"/>
    <x v="0"/>
    <n v="181.05"/>
    <n v="724.2"/>
  </r>
  <r>
    <s v="P99689"/>
    <x v="5"/>
    <x v="1"/>
    <n v="248"/>
    <n v="90"/>
    <x v="0"/>
    <x v="0"/>
    <s v="global parts@example.com"/>
    <n v="11"/>
    <x v="3"/>
    <n v="124.22"/>
    <n v="30806.560000000001"/>
  </r>
  <r>
    <s v="P20266"/>
    <x v="5"/>
    <x v="1"/>
    <n v="277"/>
    <n v="48"/>
    <x v="0"/>
    <x v="2"/>
    <s v="directgoods@example.com"/>
    <n v="4"/>
    <x v="4"/>
    <n v="198.14"/>
    <n v="54884.78"/>
  </r>
  <r>
    <s v="P76317"/>
    <x v="4"/>
    <x v="0"/>
    <n v="481"/>
    <n v="27"/>
    <x v="0"/>
    <x v="0"/>
    <s v="global parts@example.com"/>
    <n v="15"/>
    <x v="2"/>
    <n v="125.55"/>
    <n v="60389.549999999996"/>
  </r>
  <r>
    <s v="P72647"/>
    <x v="5"/>
    <x v="1"/>
    <n v="328"/>
    <n v="68"/>
    <x v="0"/>
    <x v="3"/>
    <s v="wareplus@example.com"/>
    <n v="4"/>
    <x v="1"/>
    <n v="179.98"/>
    <n v="59033.439999999995"/>
  </r>
  <r>
    <s v="P28827"/>
    <x v="0"/>
    <x v="0"/>
    <n v="269"/>
    <n v="95"/>
    <x v="0"/>
    <x v="0"/>
    <s v="global parts@example.com"/>
    <n v="9"/>
    <x v="2"/>
    <n v="157.72"/>
    <n v="42426.68"/>
  </r>
  <r>
    <s v="P41733"/>
    <x v="1"/>
    <x v="0"/>
    <n v="481"/>
    <n v="23"/>
    <x v="0"/>
    <x v="1"/>
    <s v="supplyco@example.com"/>
    <n v="3"/>
    <x v="3"/>
    <n v="132.77000000000001"/>
    <n v="63862.37"/>
  </r>
  <r>
    <s v="P24172"/>
    <x v="0"/>
    <x v="0"/>
    <n v="44"/>
    <n v="94"/>
    <x v="1"/>
    <x v="2"/>
    <s v="directgoods@example.com"/>
    <n v="11"/>
    <x v="1"/>
    <n v="135.66"/>
    <n v="5969.04"/>
  </r>
  <r>
    <s v="P59517"/>
    <x v="0"/>
    <x v="0"/>
    <n v="333"/>
    <n v="25"/>
    <x v="0"/>
    <x v="1"/>
    <s v="supplyco@example.com"/>
    <n v="16"/>
    <x v="4"/>
    <n v="95.6"/>
    <n v="31834.799999999999"/>
  </r>
  <r>
    <s v="P70806"/>
    <x v="1"/>
    <x v="0"/>
    <n v="401"/>
    <n v="54"/>
    <x v="0"/>
    <x v="2"/>
    <s v="directgoods@example.com"/>
    <n v="19"/>
    <x v="1"/>
    <n v="75.75"/>
    <n v="30375.75"/>
  </r>
  <r>
    <s v="P61019"/>
    <x v="2"/>
    <x v="0"/>
    <n v="147"/>
    <n v="23"/>
    <x v="0"/>
    <x v="2"/>
    <s v="directgoods@example.com"/>
    <n v="14"/>
    <x v="3"/>
    <n v="22.04"/>
    <n v="3239.8799999999997"/>
  </r>
  <r>
    <s v="P64724"/>
    <x v="5"/>
    <x v="1"/>
    <n v="257"/>
    <n v="47"/>
    <x v="0"/>
    <x v="2"/>
    <s v="directgoods@example.com"/>
    <n v="10"/>
    <x v="4"/>
    <n v="122.44"/>
    <n v="31467.079999999998"/>
  </r>
  <r>
    <s v="P69729"/>
    <x v="4"/>
    <x v="0"/>
    <n v="333"/>
    <n v="68"/>
    <x v="0"/>
    <x v="1"/>
    <s v="supplyco@example.com"/>
    <n v="4"/>
    <x v="0"/>
    <n v="79.87"/>
    <n v="26596.710000000003"/>
  </r>
  <r>
    <s v="P43944"/>
    <x v="4"/>
    <x v="0"/>
    <n v="82"/>
    <n v="54"/>
    <x v="0"/>
    <x v="2"/>
    <s v="directgoods@example.com"/>
    <n v="8"/>
    <x v="3"/>
    <n v="38.44"/>
    <n v="3152.08"/>
  </r>
  <r>
    <s v="P10605"/>
    <x v="3"/>
    <x v="1"/>
    <n v="456"/>
    <n v="20"/>
    <x v="0"/>
    <x v="2"/>
    <s v="directgoods@example.com"/>
    <n v="17"/>
    <x v="1"/>
    <n v="119.98"/>
    <n v="54710.880000000005"/>
  </r>
  <r>
    <s v="P65681"/>
    <x v="4"/>
    <x v="0"/>
    <n v="425"/>
    <n v="76"/>
    <x v="0"/>
    <x v="2"/>
    <s v="directgoods@example.com"/>
    <n v="8"/>
    <x v="3"/>
    <n v="34.79"/>
    <n v="14785.75"/>
  </r>
  <r>
    <s v="P71902"/>
    <x v="5"/>
    <x v="1"/>
    <n v="32"/>
    <n v="20"/>
    <x v="0"/>
    <x v="3"/>
    <s v="wareplus@example.com"/>
    <n v="6"/>
    <x v="2"/>
    <n v="148.51"/>
    <n v="4752.32"/>
  </r>
  <r>
    <s v="P35582"/>
    <x v="4"/>
    <x v="0"/>
    <n v="203"/>
    <n v="45"/>
    <x v="0"/>
    <x v="1"/>
    <s v="supplyco@example.com"/>
    <n v="4"/>
    <x v="1"/>
    <n v="10.71"/>
    <n v="2174.13"/>
  </r>
  <r>
    <s v="P45427"/>
    <x v="2"/>
    <x v="0"/>
    <n v="464"/>
    <n v="55"/>
    <x v="0"/>
    <x v="0"/>
    <s v="global parts@example.com"/>
    <n v="8"/>
    <x v="2"/>
    <n v="113.33"/>
    <n v="52585.120000000003"/>
  </r>
  <r>
    <s v="P44744"/>
    <x v="0"/>
    <x v="0"/>
    <n v="128"/>
    <n v="98"/>
    <x v="0"/>
    <x v="2"/>
    <s v="directgoods@example.com"/>
    <n v="4"/>
    <x v="3"/>
    <n v="19.260000000000002"/>
    <n v="2465.2800000000002"/>
  </r>
  <r>
    <s v="P17363"/>
    <x v="2"/>
    <x v="0"/>
    <n v="489"/>
    <n v="89"/>
    <x v="0"/>
    <x v="3"/>
    <s v="wareplus@example.com"/>
    <n v="14"/>
    <x v="1"/>
    <n v="93.52"/>
    <n v="45731.28"/>
  </r>
  <r>
    <s v="P76950"/>
    <x v="6"/>
    <x v="0"/>
    <n v="310"/>
    <n v="94"/>
    <x v="0"/>
    <x v="1"/>
    <s v="supplyco@example.com"/>
    <n v="7"/>
    <x v="3"/>
    <n v="129.41999999999999"/>
    <n v="40120.199999999997"/>
  </r>
  <r>
    <s v="P46851"/>
    <x v="0"/>
    <x v="0"/>
    <n v="378"/>
    <n v="83"/>
    <x v="0"/>
    <x v="3"/>
    <s v="wareplus@example.com"/>
    <n v="21"/>
    <x v="2"/>
    <n v="65.14"/>
    <n v="24622.920000000002"/>
  </r>
  <r>
    <s v="P68592"/>
    <x v="6"/>
    <x v="0"/>
    <n v="52"/>
    <n v="32"/>
    <x v="0"/>
    <x v="0"/>
    <s v="global parts@example.com"/>
    <n v="15"/>
    <x v="4"/>
    <n v="137.58000000000001"/>
    <n v="7154.1600000000008"/>
  </r>
  <r>
    <s v="P73943"/>
    <x v="5"/>
    <x v="1"/>
    <n v="205"/>
    <n v="67"/>
    <x v="0"/>
    <x v="2"/>
    <s v="directgoods@example.com"/>
    <n v="18"/>
    <x v="0"/>
    <n v="156.22"/>
    <n v="32025.1"/>
  </r>
  <r>
    <s v="P88285"/>
    <x v="2"/>
    <x v="0"/>
    <n v="215"/>
    <n v="83"/>
    <x v="0"/>
    <x v="1"/>
    <s v="supplyco@example.com"/>
    <n v="7"/>
    <x v="2"/>
    <n v="127.35"/>
    <n v="27380.25"/>
  </r>
  <r>
    <s v="P35177"/>
    <x v="4"/>
    <x v="0"/>
    <n v="307"/>
    <n v="52"/>
    <x v="0"/>
    <x v="1"/>
    <s v="supplyco@example.com"/>
    <n v="14"/>
    <x v="0"/>
    <n v="159.83000000000001"/>
    <n v="49067.810000000005"/>
  </r>
  <r>
    <s v="P96085"/>
    <x v="4"/>
    <x v="0"/>
    <n v="22"/>
    <n v="76"/>
    <x v="1"/>
    <x v="3"/>
    <s v="wareplus@example.com"/>
    <n v="4"/>
    <x v="4"/>
    <n v="169.81"/>
    <n v="3735.82"/>
  </r>
  <r>
    <s v="P62647"/>
    <x v="3"/>
    <x v="1"/>
    <n v="269"/>
    <n v="82"/>
    <x v="0"/>
    <x v="3"/>
    <s v="wareplus@example.com"/>
    <n v="19"/>
    <x v="4"/>
    <n v="196.27"/>
    <n v="52796.630000000005"/>
  </r>
  <r>
    <s v="P74075"/>
    <x v="0"/>
    <x v="0"/>
    <n v="93"/>
    <n v="37"/>
    <x v="0"/>
    <x v="1"/>
    <s v="supplyco@example.com"/>
    <n v="8"/>
    <x v="0"/>
    <n v="191.94"/>
    <n v="17850.419999999998"/>
  </r>
  <r>
    <s v="P40699"/>
    <x v="4"/>
    <x v="0"/>
    <n v="73"/>
    <n v="40"/>
    <x v="0"/>
    <x v="3"/>
    <s v="wareplus@example.com"/>
    <n v="8"/>
    <x v="1"/>
    <n v="177.9"/>
    <n v="12986.7"/>
  </r>
  <r>
    <s v="P51535"/>
    <x v="1"/>
    <x v="0"/>
    <n v="194"/>
    <n v="80"/>
    <x v="0"/>
    <x v="2"/>
    <s v="directgoods@example.com"/>
    <n v="9"/>
    <x v="4"/>
    <n v="36.24"/>
    <n v="7030.56"/>
  </r>
  <r>
    <s v="P85952"/>
    <x v="1"/>
    <x v="0"/>
    <n v="403"/>
    <n v="70"/>
    <x v="0"/>
    <x v="3"/>
    <s v="wareplus@example.com"/>
    <n v="17"/>
    <x v="4"/>
    <n v="181.71"/>
    <n v="73229.13"/>
  </r>
  <r>
    <s v="P52181"/>
    <x v="3"/>
    <x v="1"/>
    <n v="191"/>
    <n v="31"/>
    <x v="0"/>
    <x v="3"/>
    <s v="wareplus@example.com"/>
    <n v="9"/>
    <x v="0"/>
    <n v="83.41"/>
    <n v="15931.31"/>
  </r>
  <r>
    <s v="P49223"/>
    <x v="0"/>
    <x v="0"/>
    <n v="139"/>
    <n v="23"/>
    <x v="0"/>
    <x v="0"/>
    <s v="global parts@example.com"/>
    <n v="5"/>
    <x v="3"/>
    <n v="160.01"/>
    <n v="22241.39"/>
  </r>
  <r>
    <s v="P33041"/>
    <x v="0"/>
    <x v="0"/>
    <n v="160"/>
    <n v="48"/>
    <x v="0"/>
    <x v="1"/>
    <s v="supplyco@example.com"/>
    <n v="13"/>
    <x v="3"/>
    <n v="114.95"/>
    <n v="18392"/>
  </r>
  <r>
    <s v="P19774"/>
    <x v="2"/>
    <x v="0"/>
    <n v="106"/>
    <n v="67"/>
    <x v="0"/>
    <x v="2"/>
    <s v="directgoods@example.com"/>
    <n v="19"/>
    <x v="2"/>
    <n v="197.68"/>
    <n v="20954.080000000002"/>
  </r>
  <r>
    <s v="P50087"/>
    <x v="0"/>
    <x v="0"/>
    <n v="299"/>
    <n v="21"/>
    <x v="0"/>
    <x v="1"/>
    <s v="supplyco@example.com"/>
    <n v="3"/>
    <x v="3"/>
    <n v="100.05"/>
    <n v="29914.95"/>
  </r>
  <r>
    <s v="P17253"/>
    <x v="3"/>
    <x v="1"/>
    <n v="444"/>
    <n v="46"/>
    <x v="0"/>
    <x v="2"/>
    <s v="directgoods@example.com"/>
    <n v="20"/>
    <x v="2"/>
    <n v="129.32"/>
    <n v="57418.079999999994"/>
  </r>
  <r>
    <s v="P59489"/>
    <x v="6"/>
    <x v="0"/>
    <n v="247"/>
    <n v="56"/>
    <x v="0"/>
    <x v="2"/>
    <s v="directgoods@example.com"/>
    <n v="5"/>
    <x v="2"/>
    <n v="143.94"/>
    <n v="35553.18"/>
  </r>
  <r>
    <s v="P47924"/>
    <x v="5"/>
    <x v="1"/>
    <n v="142"/>
    <n v="83"/>
    <x v="0"/>
    <x v="2"/>
    <s v="directgoods@example.com"/>
    <n v="9"/>
    <x v="3"/>
    <n v="170.89"/>
    <n v="24266.379999999997"/>
  </r>
  <r>
    <s v="P25430"/>
    <x v="5"/>
    <x v="1"/>
    <n v="66"/>
    <n v="24"/>
    <x v="0"/>
    <x v="2"/>
    <s v="directgoods@example.com"/>
    <n v="6"/>
    <x v="0"/>
    <n v="182.92"/>
    <n v="12072.72"/>
  </r>
  <r>
    <s v="P21384"/>
    <x v="5"/>
    <x v="1"/>
    <n v="32"/>
    <n v="85"/>
    <x v="1"/>
    <x v="1"/>
    <s v="supplyco@example.com"/>
    <n v="12"/>
    <x v="2"/>
    <n v="50.27"/>
    <n v="1608.64"/>
  </r>
  <r>
    <s v="P28789"/>
    <x v="5"/>
    <x v="1"/>
    <n v="0"/>
    <n v="98"/>
    <x v="1"/>
    <x v="2"/>
    <s v="directgoods@example.com"/>
    <n v="16"/>
    <x v="4"/>
    <n v="135.5"/>
    <n v="0"/>
  </r>
  <r>
    <s v="P34425"/>
    <x v="5"/>
    <x v="1"/>
    <n v="228"/>
    <n v="49"/>
    <x v="0"/>
    <x v="2"/>
    <s v="directgoods@example.com"/>
    <n v="4"/>
    <x v="1"/>
    <n v="197.42"/>
    <n v="45011.759999999995"/>
  </r>
  <r>
    <s v="P37055"/>
    <x v="2"/>
    <x v="0"/>
    <n v="205"/>
    <n v="38"/>
    <x v="0"/>
    <x v="3"/>
    <s v="wareplus@example.com"/>
    <n v="18"/>
    <x v="0"/>
    <n v="158.4"/>
    <n v="32472"/>
  </r>
  <r>
    <s v="P79740"/>
    <x v="2"/>
    <x v="0"/>
    <n v="177"/>
    <n v="31"/>
    <x v="0"/>
    <x v="2"/>
    <s v="directgoods@example.com"/>
    <n v="14"/>
    <x v="3"/>
    <n v="150.27000000000001"/>
    <n v="26597.79"/>
  </r>
  <r>
    <s v="P99821"/>
    <x v="2"/>
    <x v="0"/>
    <n v="126"/>
    <n v="95"/>
    <x v="0"/>
    <x v="2"/>
    <s v="directgoods@example.com"/>
    <n v="7"/>
    <x v="4"/>
    <n v="159.91"/>
    <n v="20148.66"/>
  </r>
  <r>
    <s v="P31299"/>
    <x v="6"/>
    <x v="0"/>
    <n v="410"/>
    <n v="93"/>
    <x v="0"/>
    <x v="0"/>
    <s v="global parts@example.com"/>
    <n v="8"/>
    <x v="3"/>
    <n v="21.58"/>
    <n v="8847.7999999999993"/>
  </r>
  <r>
    <s v="P73596"/>
    <x v="1"/>
    <x v="0"/>
    <n v="162"/>
    <n v="78"/>
    <x v="0"/>
    <x v="2"/>
    <s v="directgoods@example.com"/>
    <n v="8"/>
    <x v="2"/>
    <n v="59.73"/>
    <n v="9676.26"/>
  </r>
  <r>
    <s v="P28623"/>
    <x v="6"/>
    <x v="0"/>
    <n v="142"/>
    <n v="40"/>
    <x v="0"/>
    <x v="3"/>
    <s v="wareplus@example.com"/>
    <n v="10"/>
    <x v="3"/>
    <n v="29.98"/>
    <n v="4257.16"/>
  </r>
  <r>
    <s v="P93598"/>
    <x v="0"/>
    <x v="0"/>
    <n v="340"/>
    <n v="58"/>
    <x v="0"/>
    <x v="2"/>
    <s v="directgoods@example.com"/>
    <n v="18"/>
    <x v="1"/>
    <n v="177.05"/>
    <n v="60197.000000000007"/>
  </r>
  <r>
    <s v="P35742"/>
    <x v="2"/>
    <x v="0"/>
    <n v="445"/>
    <n v="30"/>
    <x v="0"/>
    <x v="0"/>
    <s v="global parts@example.com"/>
    <n v="18"/>
    <x v="2"/>
    <n v="189.22"/>
    <n v="84202.9"/>
  </r>
  <r>
    <s v="P71416"/>
    <x v="2"/>
    <x v="0"/>
    <n v="59"/>
    <n v="89"/>
    <x v="1"/>
    <x v="3"/>
    <s v="wareplus@example.com"/>
    <n v="10"/>
    <x v="4"/>
    <n v="130.96"/>
    <n v="7726.64"/>
  </r>
  <r>
    <s v="P94901"/>
    <x v="0"/>
    <x v="0"/>
    <n v="119"/>
    <n v="61"/>
    <x v="0"/>
    <x v="3"/>
    <s v="wareplus@example.com"/>
    <n v="10"/>
    <x v="1"/>
    <n v="112.37"/>
    <n v="13372.03"/>
  </r>
  <r>
    <s v="P20634"/>
    <x v="4"/>
    <x v="0"/>
    <n v="331"/>
    <n v="93"/>
    <x v="0"/>
    <x v="2"/>
    <s v="directgoods@example.com"/>
    <n v="19"/>
    <x v="4"/>
    <n v="19.41"/>
    <n v="6424.71"/>
  </r>
  <r>
    <s v="P27561"/>
    <x v="3"/>
    <x v="1"/>
    <n v="395"/>
    <n v="31"/>
    <x v="0"/>
    <x v="0"/>
    <s v="global parts@example.com"/>
    <n v="11"/>
    <x v="0"/>
    <n v="26.6"/>
    <n v="10507"/>
  </r>
  <r>
    <s v="P69318"/>
    <x v="3"/>
    <x v="1"/>
    <n v="293"/>
    <n v="35"/>
    <x v="0"/>
    <x v="3"/>
    <s v="wareplus@example.com"/>
    <n v="20"/>
    <x v="2"/>
    <n v="148.72999999999999"/>
    <n v="43577.89"/>
  </r>
  <r>
    <s v="P28418"/>
    <x v="3"/>
    <x v="1"/>
    <n v="52"/>
    <n v="54"/>
    <x v="1"/>
    <x v="3"/>
    <s v="wareplus@example.com"/>
    <n v="21"/>
    <x v="3"/>
    <n v="193.3"/>
    <n v="10051.6"/>
  </r>
  <r>
    <s v="P54746"/>
    <x v="1"/>
    <x v="0"/>
    <n v="189"/>
    <n v="40"/>
    <x v="0"/>
    <x v="0"/>
    <s v="global parts@example.com"/>
    <n v="16"/>
    <x v="1"/>
    <n v="181.46"/>
    <n v="34295.94"/>
  </r>
  <r>
    <s v="P90523"/>
    <x v="4"/>
    <x v="0"/>
    <n v="42"/>
    <n v="36"/>
    <x v="0"/>
    <x v="1"/>
    <s v="supplyco@example.com"/>
    <n v="17"/>
    <x v="2"/>
    <n v="196.85"/>
    <n v="8267.6999999999989"/>
  </r>
  <r>
    <s v="P85076"/>
    <x v="6"/>
    <x v="0"/>
    <n v="410"/>
    <n v="27"/>
    <x v="0"/>
    <x v="2"/>
    <s v="directgoods@example.com"/>
    <n v="5"/>
    <x v="4"/>
    <n v="129.74"/>
    <n v="53193.4"/>
  </r>
  <r>
    <s v="P91486"/>
    <x v="5"/>
    <x v="1"/>
    <n v="97"/>
    <n v="47"/>
    <x v="0"/>
    <x v="3"/>
    <s v="wareplus@example.com"/>
    <n v="14"/>
    <x v="4"/>
    <n v="184.25"/>
    <n v="17872.25"/>
  </r>
  <r>
    <s v="P31274"/>
    <x v="2"/>
    <x v="0"/>
    <n v="6"/>
    <n v="53"/>
    <x v="1"/>
    <x v="0"/>
    <s v="global parts@example.com"/>
    <n v="4"/>
    <x v="4"/>
    <n v="74.739999999999995"/>
    <n v="448.43999999999994"/>
  </r>
  <r>
    <s v="P35025"/>
    <x v="2"/>
    <x v="0"/>
    <n v="394"/>
    <n v="29"/>
    <x v="0"/>
    <x v="1"/>
    <s v="supplyco@example.com"/>
    <n v="8"/>
    <x v="3"/>
    <n v="119.03"/>
    <n v="46897.82"/>
  </r>
  <r>
    <s v="P79704"/>
    <x v="2"/>
    <x v="0"/>
    <n v="289"/>
    <n v="47"/>
    <x v="0"/>
    <x v="1"/>
    <s v="supplyco@example.com"/>
    <n v="15"/>
    <x v="2"/>
    <n v="37.590000000000003"/>
    <n v="10863.51"/>
  </r>
  <r>
    <s v="P23975"/>
    <x v="3"/>
    <x v="1"/>
    <n v="96"/>
    <n v="25"/>
    <x v="0"/>
    <x v="2"/>
    <s v="directgoods@example.com"/>
    <n v="9"/>
    <x v="3"/>
    <n v="148.58000000000001"/>
    <n v="14263.68"/>
  </r>
  <r>
    <s v="P84276"/>
    <x v="6"/>
    <x v="0"/>
    <n v="36"/>
    <n v="86"/>
    <x v="1"/>
    <x v="1"/>
    <s v="supplyco@example.com"/>
    <n v="4"/>
    <x v="0"/>
    <n v="182.76"/>
    <n v="6579.36"/>
  </r>
  <r>
    <s v="P56541"/>
    <x v="6"/>
    <x v="0"/>
    <n v="82"/>
    <n v="26"/>
    <x v="0"/>
    <x v="3"/>
    <s v="wareplus@example.com"/>
    <n v="9"/>
    <x v="2"/>
    <n v="24.11"/>
    <n v="1977.02"/>
  </r>
  <r>
    <s v="P32595"/>
    <x v="3"/>
    <x v="1"/>
    <n v="471"/>
    <n v="74"/>
    <x v="0"/>
    <x v="3"/>
    <s v="wareplus@example.com"/>
    <n v="19"/>
    <x v="0"/>
    <n v="185.92"/>
    <n v="87568.319999999992"/>
  </r>
  <r>
    <s v="P83511"/>
    <x v="1"/>
    <x v="0"/>
    <n v="12"/>
    <n v="61"/>
    <x v="1"/>
    <x v="0"/>
    <s v="global parts@example.com"/>
    <n v="16"/>
    <x v="4"/>
    <n v="9.2799999999999994"/>
    <n v="111.35999999999999"/>
  </r>
  <r>
    <s v="P76524"/>
    <x v="4"/>
    <x v="0"/>
    <n v="119"/>
    <n v="65"/>
    <x v="0"/>
    <x v="3"/>
    <s v="wareplus@example.com"/>
    <n v="17"/>
    <x v="2"/>
    <n v="18.14"/>
    <n v="2158.66"/>
  </r>
  <r>
    <s v="P74344"/>
    <x v="2"/>
    <x v="0"/>
    <n v="220"/>
    <n v="22"/>
    <x v="0"/>
    <x v="2"/>
    <s v="directgoods@example.com"/>
    <n v="15"/>
    <x v="0"/>
    <n v="130.05000000000001"/>
    <n v="28611.000000000004"/>
  </r>
  <r>
    <s v="P38471"/>
    <x v="6"/>
    <x v="0"/>
    <n v="234"/>
    <n v="44"/>
    <x v="0"/>
    <x v="1"/>
    <s v="supplyco@example.com"/>
    <n v="5"/>
    <x v="1"/>
    <n v="50.51"/>
    <n v="11819.34"/>
  </r>
  <r>
    <s v="P49378"/>
    <x v="2"/>
    <x v="0"/>
    <n v="241"/>
    <n v="72"/>
    <x v="0"/>
    <x v="3"/>
    <s v="wareplus@example.com"/>
    <n v="5"/>
    <x v="1"/>
    <n v="186.5"/>
    <n v="44946.5"/>
  </r>
  <r>
    <s v="P44309"/>
    <x v="3"/>
    <x v="1"/>
    <n v="444"/>
    <n v="81"/>
    <x v="0"/>
    <x v="0"/>
    <s v="global parts@example.com"/>
    <n v="15"/>
    <x v="1"/>
    <n v="3.86"/>
    <n v="1713.84"/>
  </r>
  <r>
    <s v="P78170"/>
    <x v="5"/>
    <x v="1"/>
    <n v="266"/>
    <n v="30"/>
    <x v="0"/>
    <x v="2"/>
    <s v="directgoods@example.com"/>
    <n v="18"/>
    <x v="3"/>
    <n v="99.64"/>
    <n v="26504.240000000002"/>
  </r>
  <r>
    <s v="P38940"/>
    <x v="4"/>
    <x v="0"/>
    <n v="72"/>
    <n v="24"/>
    <x v="0"/>
    <x v="3"/>
    <s v="wareplus@example.com"/>
    <n v="18"/>
    <x v="4"/>
    <n v="22.11"/>
    <n v="1591.92"/>
  </r>
  <r>
    <s v="P53210"/>
    <x v="2"/>
    <x v="0"/>
    <n v="310"/>
    <n v="29"/>
    <x v="0"/>
    <x v="1"/>
    <s v="supplyco@example.com"/>
    <n v="18"/>
    <x v="4"/>
    <n v="111.67"/>
    <n v="34617.699999999997"/>
  </r>
  <r>
    <s v="P63507"/>
    <x v="6"/>
    <x v="0"/>
    <n v="239"/>
    <n v="61"/>
    <x v="0"/>
    <x v="0"/>
    <s v="global parts@example.com"/>
    <n v="4"/>
    <x v="2"/>
    <n v="197.31"/>
    <n v="47157.090000000004"/>
  </r>
  <r>
    <s v="P28571"/>
    <x v="0"/>
    <x v="0"/>
    <n v="479"/>
    <n v="78"/>
    <x v="0"/>
    <x v="3"/>
    <s v="wareplus@example.com"/>
    <n v="21"/>
    <x v="1"/>
    <n v="130.76"/>
    <n v="62634.039999999994"/>
  </r>
  <r>
    <s v="P22687"/>
    <x v="6"/>
    <x v="0"/>
    <n v="198"/>
    <n v="21"/>
    <x v="0"/>
    <x v="3"/>
    <s v="wareplus@example.com"/>
    <n v="14"/>
    <x v="3"/>
    <n v="74.3"/>
    <n v="14711.4"/>
  </r>
  <r>
    <s v="P41142"/>
    <x v="1"/>
    <x v="0"/>
    <n v="383"/>
    <n v="90"/>
    <x v="0"/>
    <x v="0"/>
    <s v="global parts@example.com"/>
    <n v="20"/>
    <x v="1"/>
    <n v="154.76"/>
    <n v="59273.079999999994"/>
  </r>
  <r>
    <s v="P31670"/>
    <x v="4"/>
    <x v="0"/>
    <n v="55"/>
    <n v="87"/>
    <x v="1"/>
    <x v="1"/>
    <s v="supplyco@example.com"/>
    <n v="3"/>
    <x v="0"/>
    <n v="27.69"/>
    <n v="1522.95"/>
  </r>
  <r>
    <s v="P81888"/>
    <x v="6"/>
    <x v="0"/>
    <n v="421"/>
    <n v="36"/>
    <x v="0"/>
    <x v="1"/>
    <s v="supplyco@example.com"/>
    <n v="9"/>
    <x v="1"/>
    <n v="166.82"/>
    <n v="70231.22"/>
  </r>
  <r>
    <s v="P36077"/>
    <x v="1"/>
    <x v="0"/>
    <n v="348"/>
    <n v="20"/>
    <x v="0"/>
    <x v="1"/>
    <s v="supplyco@example.com"/>
    <n v="7"/>
    <x v="2"/>
    <n v="140.53"/>
    <n v="48904.44"/>
  </r>
  <r>
    <s v="P59935"/>
    <x v="0"/>
    <x v="0"/>
    <n v="174"/>
    <n v="44"/>
    <x v="0"/>
    <x v="1"/>
    <s v="supplyco@example.com"/>
    <n v="4"/>
    <x v="2"/>
    <n v="168.76"/>
    <n v="29364.239999999998"/>
  </r>
  <r>
    <s v="P45647"/>
    <x v="6"/>
    <x v="0"/>
    <n v="342"/>
    <n v="36"/>
    <x v="0"/>
    <x v="2"/>
    <s v="directgoods@example.com"/>
    <n v="4"/>
    <x v="1"/>
    <n v="56.35"/>
    <n v="19271.7"/>
  </r>
  <r>
    <s v="P82285"/>
    <x v="3"/>
    <x v="1"/>
    <n v="439"/>
    <n v="58"/>
    <x v="0"/>
    <x v="2"/>
    <s v="directgoods@example.com"/>
    <n v="18"/>
    <x v="2"/>
    <n v="104.18"/>
    <n v="45735.020000000004"/>
  </r>
  <r>
    <s v="P68793"/>
    <x v="3"/>
    <x v="1"/>
    <n v="65"/>
    <n v="25"/>
    <x v="0"/>
    <x v="2"/>
    <s v="directgoods@example.com"/>
    <n v="18"/>
    <x v="0"/>
    <n v="187.89"/>
    <n v="12212.849999999999"/>
  </r>
  <r>
    <s v="P77804"/>
    <x v="0"/>
    <x v="0"/>
    <n v="420"/>
    <n v="48"/>
    <x v="0"/>
    <x v="1"/>
    <s v="supplyco@example.com"/>
    <n v="3"/>
    <x v="2"/>
    <n v="85.74"/>
    <n v="36010.799999999996"/>
  </r>
  <r>
    <s v="P31932"/>
    <x v="5"/>
    <x v="1"/>
    <n v="338"/>
    <n v="69"/>
    <x v="0"/>
    <x v="2"/>
    <s v="directgoods@example.com"/>
    <n v="11"/>
    <x v="3"/>
    <n v="130.62"/>
    <n v="44149.560000000005"/>
  </r>
  <r>
    <s v="P45183"/>
    <x v="6"/>
    <x v="0"/>
    <n v="493"/>
    <n v="50"/>
    <x v="0"/>
    <x v="3"/>
    <s v="wareplus@example.com"/>
    <n v="16"/>
    <x v="3"/>
    <n v="114.8"/>
    <n v="56596.4"/>
  </r>
  <r>
    <s v="P63200"/>
    <x v="1"/>
    <x v="0"/>
    <n v="24"/>
    <n v="46"/>
    <x v="1"/>
    <x v="0"/>
    <s v="global parts@example.com"/>
    <n v="14"/>
    <x v="4"/>
    <n v="150.9"/>
    <n v="3621.6000000000004"/>
  </r>
  <r>
    <s v="P96075"/>
    <x v="6"/>
    <x v="0"/>
    <n v="362"/>
    <n v="97"/>
    <x v="0"/>
    <x v="0"/>
    <s v="global parts@example.com"/>
    <n v="8"/>
    <x v="4"/>
    <n v="13.07"/>
    <n v="4731.34"/>
  </r>
  <r>
    <s v="P26158"/>
    <x v="5"/>
    <x v="1"/>
    <n v="278"/>
    <n v="97"/>
    <x v="0"/>
    <x v="2"/>
    <s v="directgoods@example.com"/>
    <n v="3"/>
    <x v="4"/>
    <n v="58.03"/>
    <n v="16132.34"/>
  </r>
  <r>
    <s v="P96306"/>
    <x v="5"/>
    <x v="1"/>
    <n v="421"/>
    <n v="100"/>
    <x v="0"/>
    <x v="3"/>
    <s v="wareplus@example.com"/>
    <n v="21"/>
    <x v="1"/>
    <n v="51.69"/>
    <n v="21761.489999999998"/>
  </r>
  <r>
    <s v="P13341"/>
    <x v="5"/>
    <x v="1"/>
    <n v="449"/>
    <n v="52"/>
    <x v="0"/>
    <x v="3"/>
    <s v="wareplus@example.com"/>
    <n v="21"/>
    <x v="1"/>
    <n v="168.89"/>
    <n v="75831.61"/>
  </r>
  <r>
    <s v="P27265"/>
    <x v="6"/>
    <x v="0"/>
    <n v="361"/>
    <n v="92"/>
    <x v="0"/>
    <x v="3"/>
    <s v="wareplus@example.com"/>
    <n v="6"/>
    <x v="0"/>
    <n v="78.41"/>
    <n v="28306.01"/>
  </r>
  <r>
    <s v="P52393"/>
    <x v="1"/>
    <x v="0"/>
    <n v="258"/>
    <n v="62"/>
    <x v="0"/>
    <x v="3"/>
    <s v="wareplus@example.com"/>
    <n v="18"/>
    <x v="4"/>
    <n v="40.72"/>
    <n v="10505.76"/>
  </r>
  <r>
    <s v="P77616"/>
    <x v="2"/>
    <x v="0"/>
    <n v="330"/>
    <n v="75"/>
    <x v="0"/>
    <x v="2"/>
    <s v="directgoods@example.com"/>
    <n v="11"/>
    <x v="4"/>
    <n v="33.4"/>
    <n v="11022"/>
  </r>
  <r>
    <s v="P98302"/>
    <x v="2"/>
    <x v="0"/>
    <n v="83"/>
    <n v="88"/>
    <x v="1"/>
    <x v="1"/>
    <s v="supplyco@example.com"/>
    <n v="12"/>
    <x v="4"/>
    <n v="135.38999999999999"/>
    <n v="11237.369999999999"/>
  </r>
  <r>
    <s v="P22089"/>
    <x v="0"/>
    <x v="0"/>
    <n v="186"/>
    <n v="41"/>
    <x v="0"/>
    <x v="3"/>
    <s v="wareplus@example.com"/>
    <n v="17"/>
    <x v="1"/>
    <n v="54.66"/>
    <n v="10166.76"/>
  </r>
  <r>
    <s v="P38229"/>
    <x v="5"/>
    <x v="1"/>
    <n v="63"/>
    <n v="71"/>
    <x v="1"/>
    <x v="2"/>
    <s v="directgoods@example.com"/>
    <n v="6"/>
    <x v="1"/>
    <n v="152.72"/>
    <n v="9621.36"/>
  </r>
  <r>
    <s v="P75961"/>
    <x v="1"/>
    <x v="0"/>
    <n v="494"/>
    <n v="60"/>
    <x v="0"/>
    <x v="3"/>
    <s v="wareplus@example.com"/>
    <n v="3"/>
    <x v="2"/>
    <n v="160.38999999999999"/>
    <n v="79232.659999999989"/>
  </r>
  <r>
    <s v="P53867"/>
    <x v="0"/>
    <x v="0"/>
    <n v="173"/>
    <n v="41"/>
    <x v="0"/>
    <x v="2"/>
    <s v="directgoods@example.com"/>
    <n v="18"/>
    <x v="4"/>
    <n v="172.6"/>
    <n v="29859.8"/>
  </r>
  <r>
    <s v="P73097"/>
    <x v="6"/>
    <x v="0"/>
    <n v="146"/>
    <n v="64"/>
    <x v="0"/>
    <x v="1"/>
    <s v="supplyco@example.com"/>
    <n v="8"/>
    <x v="3"/>
    <n v="178.01"/>
    <n v="25989.46"/>
  </r>
  <r>
    <s v="P95990"/>
    <x v="2"/>
    <x v="0"/>
    <n v="8"/>
    <n v="84"/>
    <x v="1"/>
    <x v="1"/>
    <s v="supplyco@example.com"/>
    <n v="5"/>
    <x v="2"/>
    <n v="30.68"/>
    <n v="245.44"/>
  </r>
  <r>
    <s v="P46348"/>
    <x v="4"/>
    <x v="0"/>
    <n v="337"/>
    <n v="93"/>
    <x v="0"/>
    <x v="3"/>
    <s v="wareplus@example.com"/>
    <n v="3"/>
    <x v="0"/>
    <n v="4.2"/>
    <n v="1415.4"/>
  </r>
  <r>
    <s v="P28664"/>
    <x v="6"/>
    <x v="0"/>
    <n v="448"/>
    <n v="69"/>
    <x v="0"/>
    <x v="3"/>
    <s v="wareplus@example.com"/>
    <n v="10"/>
    <x v="0"/>
    <n v="108.09"/>
    <n v="48424.32"/>
  </r>
  <r>
    <s v="P54983"/>
    <x v="6"/>
    <x v="0"/>
    <n v="319"/>
    <n v="36"/>
    <x v="0"/>
    <x v="2"/>
    <s v="directgoods@example.com"/>
    <n v="3"/>
    <x v="4"/>
    <n v="70.81"/>
    <n v="22588.39"/>
  </r>
  <r>
    <s v="P32617"/>
    <x v="6"/>
    <x v="0"/>
    <n v="162"/>
    <n v="84"/>
    <x v="0"/>
    <x v="2"/>
    <s v="directgoods@example.com"/>
    <n v="4"/>
    <x v="4"/>
    <n v="109.81"/>
    <n v="17789.22"/>
  </r>
  <r>
    <s v="P27192"/>
    <x v="3"/>
    <x v="1"/>
    <n v="466"/>
    <n v="66"/>
    <x v="0"/>
    <x v="3"/>
    <s v="wareplus@example.com"/>
    <n v="16"/>
    <x v="4"/>
    <n v="162.41"/>
    <n v="75683.06"/>
  </r>
  <r>
    <s v="P20294"/>
    <x v="5"/>
    <x v="1"/>
    <n v="87"/>
    <n v="91"/>
    <x v="1"/>
    <x v="3"/>
    <s v="wareplus@example.com"/>
    <n v="18"/>
    <x v="2"/>
    <n v="10.63"/>
    <n v="924.81000000000006"/>
  </r>
  <r>
    <s v="P24029"/>
    <x v="1"/>
    <x v="0"/>
    <n v="333"/>
    <n v="20"/>
    <x v="0"/>
    <x v="0"/>
    <s v="global parts@example.com"/>
    <n v="16"/>
    <x v="0"/>
    <n v="117.94"/>
    <n v="39274.019999999997"/>
  </r>
  <r>
    <s v="P82334"/>
    <x v="1"/>
    <x v="0"/>
    <n v="63"/>
    <n v="100"/>
    <x v="1"/>
    <x v="2"/>
    <s v="directgoods@example.com"/>
    <n v="13"/>
    <x v="2"/>
    <n v="171.33"/>
    <n v="10793.79"/>
  </r>
  <r>
    <s v="P26345"/>
    <x v="1"/>
    <x v="0"/>
    <n v="253"/>
    <n v="49"/>
    <x v="0"/>
    <x v="3"/>
    <s v="wareplus@example.com"/>
    <n v="19"/>
    <x v="1"/>
    <n v="16.79"/>
    <n v="4247.87"/>
  </r>
  <r>
    <s v="P79895"/>
    <x v="6"/>
    <x v="0"/>
    <n v="453"/>
    <n v="88"/>
    <x v="0"/>
    <x v="0"/>
    <s v="global parts@example.com"/>
    <n v="21"/>
    <x v="2"/>
    <n v="128.54"/>
    <n v="58228.619999999995"/>
  </r>
  <r>
    <s v="P21813"/>
    <x v="0"/>
    <x v="0"/>
    <n v="3"/>
    <n v="57"/>
    <x v="1"/>
    <x v="3"/>
    <s v="wareplus@example.com"/>
    <n v="18"/>
    <x v="3"/>
    <n v="87.48"/>
    <n v="262.44"/>
  </r>
  <r>
    <s v="P41559"/>
    <x v="6"/>
    <x v="0"/>
    <n v="227"/>
    <n v="21"/>
    <x v="0"/>
    <x v="2"/>
    <s v="directgoods@example.com"/>
    <n v="21"/>
    <x v="3"/>
    <n v="58.75"/>
    <n v="13336.25"/>
  </r>
  <r>
    <s v="P15109"/>
    <x v="2"/>
    <x v="0"/>
    <n v="307"/>
    <n v="29"/>
    <x v="0"/>
    <x v="2"/>
    <s v="directgoods@example.com"/>
    <n v="12"/>
    <x v="3"/>
    <n v="37.94"/>
    <n v="11647.58"/>
  </r>
  <r>
    <s v="P15948"/>
    <x v="4"/>
    <x v="0"/>
    <n v="119"/>
    <n v="60"/>
    <x v="0"/>
    <x v="2"/>
    <s v="directgoods@example.com"/>
    <n v="3"/>
    <x v="2"/>
    <n v="187.62"/>
    <n v="22326.78"/>
  </r>
  <r>
    <s v="P16168"/>
    <x v="5"/>
    <x v="1"/>
    <n v="419"/>
    <n v="27"/>
    <x v="0"/>
    <x v="2"/>
    <s v="directgoods@example.com"/>
    <n v="16"/>
    <x v="1"/>
    <n v="179.1"/>
    <n v="75042.899999999994"/>
  </r>
  <r>
    <s v="P29123"/>
    <x v="2"/>
    <x v="0"/>
    <n v="48"/>
    <n v="27"/>
    <x v="0"/>
    <x v="3"/>
    <s v="wareplus@example.com"/>
    <n v="18"/>
    <x v="3"/>
    <n v="61.23"/>
    <n v="2939.04"/>
  </r>
  <r>
    <s v="P45769"/>
    <x v="3"/>
    <x v="1"/>
    <n v="454"/>
    <n v="53"/>
    <x v="0"/>
    <x v="1"/>
    <s v="supplyco@example.com"/>
    <n v="19"/>
    <x v="3"/>
    <n v="70.62"/>
    <n v="32061.480000000003"/>
  </r>
  <r>
    <s v="P48138"/>
    <x v="6"/>
    <x v="0"/>
    <n v="179"/>
    <n v="59"/>
    <x v="0"/>
    <x v="1"/>
    <s v="supplyco@example.com"/>
    <n v="8"/>
    <x v="0"/>
    <n v="63.73"/>
    <n v="11407.67"/>
  </r>
  <r>
    <s v="P14527"/>
    <x v="4"/>
    <x v="0"/>
    <n v="42"/>
    <n v="26"/>
    <x v="0"/>
    <x v="2"/>
    <s v="directgoods@example.com"/>
    <n v="3"/>
    <x v="2"/>
    <n v="155.19999999999999"/>
    <n v="6518.4"/>
  </r>
  <r>
    <s v="P92040"/>
    <x v="1"/>
    <x v="0"/>
    <n v="288"/>
    <n v="38"/>
    <x v="0"/>
    <x v="2"/>
    <s v="directgoods@example.com"/>
    <n v="16"/>
    <x v="0"/>
    <n v="95.74"/>
    <n v="27573.119999999999"/>
  </r>
  <r>
    <s v="P61657"/>
    <x v="6"/>
    <x v="0"/>
    <n v="178"/>
    <n v="67"/>
    <x v="0"/>
    <x v="3"/>
    <s v="wareplus@example.com"/>
    <n v="11"/>
    <x v="1"/>
    <n v="20.309999999999999"/>
    <n v="3615.18"/>
  </r>
  <r>
    <s v="P41681"/>
    <x v="0"/>
    <x v="0"/>
    <n v="267"/>
    <n v="24"/>
    <x v="0"/>
    <x v="1"/>
    <s v="supplyco@example.com"/>
    <n v="11"/>
    <x v="3"/>
    <n v="138.83000000000001"/>
    <n v="37067.61"/>
  </r>
  <r>
    <s v="P23366"/>
    <x v="3"/>
    <x v="1"/>
    <n v="392"/>
    <n v="91"/>
    <x v="0"/>
    <x v="3"/>
    <s v="wareplus@example.com"/>
    <n v="21"/>
    <x v="2"/>
    <n v="100.38"/>
    <n v="39348.959999999999"/>
  </r>
  <r>
    <s v="P76692"/>
    <x v="2"/>
    <x v="0"/>
    <n v="194"/>
    <n v="81"/>
    <x v="0"/>
    <x v="3"/>
    <s v="wareplus@example.com"/>
    <n v="19"/>
    <x v="1"/>
    <n v="74.510000000000005"/>
    <n v="14454.94"/>
  </r>
  <r>
    <s v="P81800"/>
    <x v="3"/>
    <x v="1"/>
    <n v="150"/>
    <n v="82"/>
    <x v="0"/>
    <x v="3"/>
    <s v="wareplus@example.com"/>
    <n v="12"/>
    <x v="2"/>
    <n v="54.41"/>
    <n v="8161.4999999999991"/>
  </r>
  <r>
    <s v="P14427"/>
    <x v="1"/>
    <x v="0"/>
    <n v="230"/>
    <n v="76"/>
    <x v="0"/>
    <x v="3"/>
    <s v="wareplus@example.com"/>
    <n v="18"/>
    <x v="0"/>
    <n v="164.84"/>
    <n v="37913.200000000004"/>
  </r>
  <r>
    <s v="P36445"/>
    <x v="3"/>
    <x v="1"/>
    <n v="345"/>
    <n v="60"/>
    <x v="0"/>
    <x v="0"/>
    <s v="global parts@example.com"/>
    <n v="12"/>
    <x v="3"/>
    <n v="73.89"/>
    <n v="25492.05"/>
  </r>
  <r>
    <s v="P57789"/>
    <x v="1"/>
    <x v="0"/>
    <n v="115"/>
    <n v="90"/>
    <x v="0"/>
    <x v="2"/>
    <s v="directgoods@example.com"/>
    <n v="16"/>
    <x v="3"/>
    <n v="148.41"/>
    <n v="17067.149999999998"/>
  </r>
  <r>
    <s v="P79254"/>
    <x v="2"/>
    <x v="0"/>
    <n v="423"/>
    <n v="68"/>
    <x v="0"/>
    <x v="2"/>
    <s v="directgoods@example.com"/>
    <n v="20"/>
    <x v="1"/>
    <n v="111.14"/>
    <n v="47012.22"/>
  </r>
  <r>
    <s v="P74968"/>
    <x v="5"/>
    <x v="1"/>
    <n v="396"/>
    <n v="87"/>
    <x v="0"/>
    <x v="1"/>
    <s v="supplyco@example.com"/>
    <n v="6"/>
    <x v="0"/>
    <n v="125.49"/>
    <n v="49694.04"/>
  </r>
  <r>
    <s v="P53255"/>
    <x v="4"/>
    <x v="0"/>
    <n v="166"/>
    <n v="68"/>
    <x v="0"/>
    <x v="0"/>
    <s v="global parts@example.com"/>
    <n v="18"/>
    <x v="0"/>
    <n v="54.96"/>
    <n v="9123.36"/>
  </r>
  <r>
    <s v="P41997"/>
    <x v="6"/>
    <x v="0"/>
    <n v="46"/>
    <n v="71"/>
    <x v="1"/>
    <x v="1"/>
    <s v="supplyco@example.com"/>
    <n v="17"/>
    <x v="4"/>
    <n v="100.69"/>
    <n v="4631.74"/>
  </r>
  <r>
    <s v="P73771"/>
    <x v="6"/>
    <x v="0"/>
    <n v="414"/>
    <n v="54"/>
    <x v="0"/>
    <x v="2"/>
    <s v="directgoods@example.com"/>
    <n v="8"/>
    <x v="3"/>
    <n v="129.54"/>
    <n v="53629.56"/>
  </r>
  <r>
    <s v="P84492"/>
    <x v="1"/>
    <x v="0"/>
    <n v="270"/>
    <n v="88"/>
    <x v="0"/>
    <x v="2"/>
    <s v="directgoods@example.com"/>
    <n v="10"/>
    <x v="3"/>
    <n v="164.9"/>
    <n v="44523"/>
  </r>
  <r>
    <s v="P17238"/>
    <x v="4"/>
    <x v="0"/>
    <n v="273"/>
    <n v="94"/>
    <x v="0"/>
    <x v="3"/>
    <s v="wareplus@example.com"/>
    <n v="14"/>
    <x v="0"/>
    <n v="37.29"/>
    <n v="10180.17"/>
  </r>
  <r>
    <s v="P48056"/>
    <x v="1"/>
    <x v="0"/>
    <n v="378"/>
    <n v="80"/>
    <x v="0"/>
    <x v="0"/>
    <s v="global parts@example.com"/>
    <n v="8"/>
    <x v="4"/>
    <n v="46.06"/>
    <n v="17410.68"/>
  </r>
  <r>
    <s v="P21308"/>
    <x v="5"/>
    <x v="1"/>
    <n v="51"/>
    <n v="73"/>
    <x v="1"/>
    <x v="2"/>
    <s v="directgoods@example.com"/>
    <n v="9"/>
    <x v="2"/>
    <n v="117.44"/>
    <n v="5989.44"/>
  </r>
  <r>
    <s v="P91909"/>
    <x v="2"/>
    <x v="0"/>
    <n v="386"/>
    <n v="62"/>
    <x v="0"/>
    <x v="2"/>
    <s v="directgoods@example.com"/>
    <n v="21"/>
    <x v="0"/>
    <n v="158.38"/>
    <n v="61134.68"/>
  </r>
  <r>
    <s v="P35915"/>
    <x v="0"/>
    <x v="0"/>
    <n v="131"/>
    <n v="82"/>
    <x v="0"/>
    <x v="0"/>
    <s v="global parts@example.com"/>
    <n v="16"/>
    <x v="3"/>
    <n v="179.08"/>
    <n v="23459.480000000003"/>
  </r>
  <r>
    <s v="P18451"/>
    <x v="0"/>
    <x v="0"/>
    <n v="218"/>
    <n v="34"/>
    <x v="0"/>
    <x v="1"/>
    <s v="supplyco@example.com"/>
    <n v="9"/>
    <x v="1"/>
    <n v="150.88999999999999"/>
    <n v="32894.019999999997"/>
  </r>
  <r>
    <s v="P60419"/>
    <x v="0"/>
    <x v="0"/>
    <n v="111"/>
    <n v="60"/>
    <x v="0"/>
    <x v="2"/>
    <s v="directgoods@example.com"/>
    <n v="12"/>
    <x v="4"/>
    <n v="124.11"/>
    <n v="13776.21"/>
  </r>
  <r>
    <s v="P69171"/>
    <x v="4"/>
    <x v="0"/>
    <n v="411"/>
    <n v="96"/>
    <x v="0"/>
    <x v="1"/>
    <s v="supplyco@example.com"/>
    <n v="13"/>
    <x v="2"/>
    <n v="5.3"/>
    <n v="2178.2999999999997"/>
  </r>
  <r>
    <s v="P84649"/>
    <x v="1"/>
    <x v="0"/>
    <n v="184"/>
    <n v="34"/>
    <x v="0"/>
    <x v="0"/>
    <s v="global parts@example.com"/>
    <n v="3"/>
    <x v="4"/>
    <n v="81.569999999999993"/>
    <n v="15008.88"/>
  </r>
  <r>
    <s v="P61528"/>
    <x v="1"/>
    <x v="0"/>
    <n v="479"/>
    <n v="36"/>
    <x v="0"/>
    <x v="2"/>
    <s v="directgoods@example.com"/>
    <n v="14"/>
    <x v="3"/>
    <n v="90.22"/>
    <n v="43215.38"/>
  </r>
  <r>
    <s v="P25204"/>
    <x v="3"/>
    <x v="1"/>
    <n v="186"/>
    <n v="27"/>
    <x v="0"/>
    <x v="0"/>
    <s v="global parts@example.com"/>
    <n v="3"/>
    <x v="1"/>
    <n v="146.94999999999999"/>
    <n v="27332.699999999997"/>
  </r>
  <r>
    <s v="P11509"/>
    <x v="4"/>
    <x v="0"/>
    <n v="240"/>
    <n v="27"/>
    <x v="0"/>
    <x v="1"/>
    <s v="supplyco@example.com"/>
    <n v="6"/>
    <x v="1"/>
    <n v="153.49"/>
    <n v="36837.600000000006"/>
  </r>
  <r>
    <s v="P76776"/>
    <x v="6"/>
    <x v="0"/>
    <n v="307"/>
    <n v="29"/>
    <x v="0"/>
    <x v="3"/>
    <s v="wareplus@example.com"/>
    <n v="5"/>
    <x v="1"/>
    <n v="116.3"/>
    <n v="35704.1"/>
  </r>
  <r>
    <s v="P19859"/>
    <x v="5"/>
    <x v="1"/>
    <n v="386"/>
    <n v="92"/>
    <x v="0"/>
    <x v="2"/>
    <s v="directgoods@example.com"/>
    <n v="15"/>
    <x v="4"/>
    <n v="43.5"/>
    <n v="16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F9B155-1931-463F-AB29-39EFF352AA9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5" firstHeaderRow="1" firstDataRow="1" firstDataCol="1"/>
  <pivotFields count="12">
    <pivotField showAll="0"/>
    <pivotField showAll="0"/>
    <pivotField showAll="0">
      <items count="3">
        <item x="0"/>
        <item x="1"/>
        <item t="default"/>
      </items>
    </pivotField>
    <pivotField showAll="0"/>
    <pivotField showAll="0"/>
    <pivotField axis="axisRow" dataField="1" showAll="0">
      <items count="4">
        <item x="0"/>
        <item x="1"/>
        <item m="1" x="2"/>
        <item t="default"/>
      </items>
    </pivotField>
    <pivotField showAll="0">
      <items count="5">
        <item x="2"/>
        <item x="0"/>
        <item x="1"/>
        <item x="3"/>
        <item t="default"/>
      </items>
    </pivotField>
    <pivotField showAll="0"/>
    <pivotField showAll="0"/>
    <pivotField showAll="0">
      <items count="6">
        <item x="4"/>
        <item x="2"/>
        <item x="3"/>
        <item x="1"/>
        <item x="0"/>
        <item t="default"/>
      </items>
    </pivotField>
    <pivotField showAll="0"/>
    <pivotField showAll="0"/>
  </pivotFields>
  <rowFields count="1">
    <field x="5"/>
  </rowFields>
  <rowItems count="2">
    <i>
      <x/>
    </i>
    <i>
      <x v="1"/>
    </i>
  </rowItems>
  <colItems count="1">
    <i/>
  </colItems>
  <dataFields count="1">
    <dataField name="Count of stock status" fld="5"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5" count="1" selected="0">
            <x v="0"/>
          </reference>
        </references>
      </pivotArea>
    </chartFormat>
    <chartFormat chart="5" format="14">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F434B4-5D9D-45A4-8A5D-6DF7DD5C8CFA}"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5" firstHeaderRow="1" firstDataRow="1" firstDataCol="1"/>
  <pivotFields count="12">
    <pivotField showAll="0"/>
    <pivotField showAll="0"/>
    <pivotField axis="axisRow" showAll="0">
      <items count="3">
        <item x="0"/>
        <item x="1"/>
        <item t="default"/>
      </items>
    </pivotField>
    <pivotField showAll="0"/>
    <pivotField showAll="0"/>
    <pivotField showAll="0">
      <items count="4">
        <item x="0"/>
        <item x="1"/>
        <item m="1" x="2"/>
        <item t="default"/>
      </items>
    </pivotField>
    <pivotField showAll="0">
      <items count="5">
        <item x="2"/>
        <item x="0"/>
        <item x="1"/>
        <item x="3"/>
        <item t="default"/>
      </items>
    </pivotField>
    <pivotField showAll="0"/>
    <pivotField showAll="0"/>
    <pivotField showAll="0">
      <items count="6">
        <item x="4"/>
        <item x="2"/>
        <item x="3"/>
        <item x="1"/>
        <item x="0"/>
        <item t="default"/>
      </items>
    </pivotField>
    <pivotField showAll="0"/>
    <pivotField dataField="1" showAll="0"/>
  </pivotFields>
  <rowFields count="1">
    <field x="2"/>
  </rowFields>
  <rowItems count="2">
    <i>
      <x/>
    </i>
    <i>
      <x v="1"/>
    </i>
  </rowItems>
  <colItems count="1">
    <i/>
  </colItems>
  <dataFields count="1">
    <dataField name="Sum of Inventory value"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902DE3-72BB-49BD-8673-358BFBD92BA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0" firstHeaderRow="1" firstDataRow="1" firstDataCol="1"/>
  <pivotFields count="12">
    <pivotField showAll="0"/>
    <pivotField axis="axisRow" showAll="0">
      <items count="8">
        <item x="3"/>
        <item x="5"/>
        <item x="1"/>
        <item x="0"/>
        <item x="6"/>
        <item x="4"/>
        <item x="2"/>
        <item t="default"/>
      </items>
    </pivotField>
    <pivotField showAll="0">
      <items count="3">
        <item x="0"/>
        <item x="1"/>
        <item t="default"/>
      </items>
    </pivotField>
    <pivotField showAll="0"/>
    <pivotField showAll="0"/>
    <pivotField showAll="0">
      <items count="4">
        <item x="0"/>
        <item x="1"/>
        <item m="1" x="2"/>
        <item t="default"/>
      </items>
    </pivotField>
    <pivotField showAll="0">
      <items count="5">
        <item x="2"/>
        <item x="0"/>
        <item x="1"/>
        <item x="3"/>
        <item t="default"/>
      </items>
    </pivotField>
    <pivotField showAll="0"/>
    <pivotField showAll="0"/>
    <pivotField showAll="0">
      <items count="6">
        <item x="4"/>
        <item x="2"/>
        <item x="3"/>
        <item x="1"/>
        <item x="0"/>
        <item t="default"/>
      </items>
    </pivotField>
    <pivotField showAll="0"/>
    <pivotField dataField="1" showAll="0"/>
  </pivotFields>
  <rowFields count="1">
    <field x="1"/>
  </rowFields>
  <rowItems count="7">
    <i>
      <x/>
    </i>
    <i>
      <x v="1"/>
    </i>
    <i>
      <x v="2"/>
    </i>
    <i>
      <x v="3"/>
    </i>
    <i>
      <x v="4"/>
    </i>
    <i>
      <x v="5"/>
    </i>
    <i>
      <x v="6"/>
    </i>
  </rowItems>
  <colItems count="1">
    <i/>
  </colItems>
  <dataFields count="1">
    <dataField name="Sum of Inventory value"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1D0E3C-35CC-49EB-BE60-2CD750F50272}"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8" firstHeaderRow="1" firstDataRow="1" firstDataCol="1"/>
  <pivotFields count="12">
    <pivotField showAll="0"/>
    <pivotField showAll="0"/>
    <pivotField showAll="0">
      <items count="3">
        <item x="0"/>
        <item x="1"/>
        <item t="default"/>
      </items>
    </pivotField>
    <pivotField showAll="0"/>
    <pivotField showAll="0"/>
    <pivotField showAll="0">
      <items count="4">
        <item x="0"/>
        <item x="1"/>
        <item m="1" x="2"/>
        <item t="default"/>
      </items>
    </pivotField>
    <pivotField showAll="0">
      <items count="5">
        <item x="2"/>
        <item x="0"/>
        <item x="1"/>
        <item x="3"/>
        <item t="default"/>
      </items>
    </pivotField>
    <pivotField showAll="0"/>
    <pivotField showAll="0"/>
    <pivotField axis="axisRow" showAll="0">
      <items count="6">
        <item x="4"/>
        <item x="2"/>
        <item x="3"/>
        <item x="1"/>
        <item x="0"/>
        <item t="default"/>
      </items>
    </pivotField>
    <pivotField showAll="0"/>
    <pivotField dataField="1" showAll="0"/>
  </pivotFields>
  <rowFields count="1">
    <field x="9"/>
  </rowFields>
  <rowItems count="5">
    <i>
      <x/>
    </i>
    <i>
      <x v="1"/>
    </i>
    <i>
      <x v="2"/>
    </i>
    <i>
      <x v="3"/>
    </i>
    <i>
      <x v="4"/>
    </i>
  </rowItems>
  <colItems count="1">
    <i/>
  </colItems>
  <dataFields count="1">
    <dataField name="Sum of Inventory value" fld="11"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9" count="1" selected="0">
            <x v="0"/>
          </reference>
        </references>
      </pivotArea>
    </chartFormat>
    <chartFormat chart="3" format="14">
      <pivotArea type="data" outline="0" fieldPosition="0">
        <references count="2">
          <reference field="4294967294" count="1" selected="0">
            <x v="0"/>
          </reference>
          <reference field="9" count="1" selected="0">
            <x v="1"/>
          </reference>
        </references>
      </pivotArea>
    </chartFormat>
    <chartFormat chart="3" format="15">
      <pivotArea type="data" outline="0" fieldPosition="0">
        <references count="2">
          <reference field="4294967294" count="1" selected="0">
            <x v="0"/>
          </reference>
          <reference field="9" count="1" selected="0">
            <x v="2"/>
          </reference>
        </references>
      </pivotArea>
    </chartFormat>
    <chartFormat chart="3" format="16">
      <pivotArea type="data" outline="0" fieldPosition="0">
        <references count="2">
          <reference field="4294967294" count="1" selected="0">
            <x v="0"/>
          </reference>
          <reference field="9" count="1" selected="0">
            <x v="3"/>
          </reference>
        </references>
      </pivotArea>
    </chartFormat>
    <chartFormat chart="3" format="17">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D3D831-6B9C-4EBB-844A-907DC7C3472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7" firstHeaderRow="1" firstDataRow="1" firstDataCol="1"/>
  <pivotFields count="12">
    <pivotField dataField="1" showAll="0"/>
    <pivotField showAll="0"/>
    <pivotField showAll="0">
      <items count="3">
        <item x="0"/>
        <item x="1"/>
        <item t="default"/>
      </items>
    </pivotField>
    <pivotField showAll="0"/>
    <pivotField showAll="0"/>
    <pivotField showAll="0">
      <items count="4">
        <item x="0"/>
        <item x="1"/>
        <item m="1" x="2"/>
        <item t="default"/>
      </items>
    </pivotField>
    <pivotField axis="axisRow" showAll="0">
      <items count="5">
        <item x="2"/>
        <item x="0"/>
        <item x="1"/>
        <item x="3"/>
        <item t="default"/>
      </items>
    </pivotField>
    <pivotField showAll="0"/>
    <pivotField showAll="0"/>
    <pivotField showAll="0">
      <items count="6">
        <item x="4"/>
        <item x="2"/>
        <item x="3"/>
        <item x="1"/>
        <item x="0"/>
        <item t="default"/>
      </items>
    </pivotField>
    <pivotField showAll="0"/>
    <pivotField showAll="0"/>
  </pivotFields>
  <rowFields count="1">
    <field x="6"/>
  </rowFields>
  <rowItems count="4">
    <i>
      <x/>
    </i>
    <i>
      <x v="1"/>
    </i>
    <i>
      <x v="2"/>
    </i>
    <i>
      <x v="3"/>
    </i>
  </rowItems>
  <colItems count="1">
    <i/>
  </colItems>
  <dataFields count="1">
    <dataField name="Count of Product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0E38EE-83E2-44A5-ACE4-E0B02C0FB95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7" firstHeaderRow="1" firstDataRow="1" firstDataCol="1"/>
  <pivotFields count="12">
    <pivotField showAll="0"/>
    <pivotField showAll="0"/>
    <pivotField showAll="0">
      <items count="3">
        <item x="0"/>
        <item x="1"/>
        <item t="default"/>
      </items>
    </pivotField>
    <pivotField showAll="0"/>
    <pivotField showAll="0"/>
    <pivotField showAll="0">
      <items count="4">
        <item x="0"/>
        <item x="1"/>
        <item m="1" x="2"/>
        <item t="default"/>
      </items>
    </pivotField>
    <pivotField axis="axisRow" showAll="0">
      <items count="5">
        <item x="2"/>
        <item x="0"/>
        <item x="1"/>
        <item x="3"/>
        <item t="default"/>
      </items>
    </pivotField>
    <pivotField showAll="0"/>
    <pivotField dataField="1" showAll="0"/>
    <pivotField showAll="0">
      <items count="6">
        <item x="4"/>
        <item x="2"/>
        <item x="3"/>
        <item x="1"/>
        <item x="0"/>
        <item t="default"/>
      </items>
    </pivotField>
    <pivotField showAll="0"/>
    <pivotField showAll="0"/>
  </pivotFields>
  <rowFields count="1">
    <field x="6"/>
  </rowFields>
  <rowItems count="4">
    <i>
      <x/>
    </i>
    <i>
      <x v="1"/>
    </i>
    <i>
      <x v="2"/>
    </i>
    <i>
      <x v="3"/>
    </i>
  </rowItems>
  <colItems count="1">
    <i/>
  </colItems>
  <dataFields count="1">
    <dataField name="Average of LeadTime" fld="8" subtotal="average" baseField="6"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B8B9DC-D461-41BE-BED3-9739B12EBB9A}"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0" firstHeaderRow="1" firstDataRow="1" firstDataCol="1"/>
  <pivotFields count="12">
    <pivotField showAll="0"/>
    <pivotField axis="axisRow" showAll="0" sortType="ascending">
      <items count="8">
        <item x="3"/>
        <item x="5"/>
        <item x="1"/>
        <item x="0"/>
        <item x="6"/>
        <item x="4"/>
        <item x="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dataField="1" showAll="0"/>
    <pivotField showAll="0"/>
    <pivotField showAll="0">
      <items count="4">
        <item x="0"/>
        <item x="1"/>
        <item m="1" x="2"/>
        <item t="default"/>
      </items>
    </pivotField>
    <pivotField showAll="0">
      <items count="5">
        <item x="2"/>
        <item x="0"/>
        <item x="1"/>
        <item x="3"/>
        <item t="default"/>
      </items>
    </pivotField>
    <pivotField showAll="0"/>
    <pivotField showAll="0"/>
    <pivotField showAll="0">
      <items count="6">
        <item x="4"/>
        <item x="2"/>
        <item x="3"/>
        <item x="1"/>
        <item x="0"/>
        <item t="default"/>
      </items>
    </pivotField>
    <pivotField showAll="0"/>
    <pivotField showAll="0"/>
  </pivotFields>
  <rowFields count="1">
    <field x="1"/>
  </rowFields>
  <rowItems count="7">
    <i>
      <x v="1"/>
    </i>
    <i>
      <x v="5"/>
    </i>
    <i>
      <x v="6"/>
    </i>
    <i>
      <x v="2"/>
    </i>
    <i>
      <x v="3"/>
    </i>
    <i>
      <x v="4"/>
    </i>
    <i>
      <x/>
    </i>
  </rowItems>
  <colItems count="1">
    <i/>
  </colItems>
  <dataFields count="1">
    <dataField name="Sum of QuantityInStock"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B73EF20-FC6D-4B0E-AD5E-E5DB89746D69}" sourceName="Category">
  <pivotTables>
    <pivotTable tabId="4" name="PivotTable1"/>
    <pivotTable tabId="10" name="PivotTable6"/>
    <pivotTable tabId="7" name="PivotTable3"/>
    <pivotTable tabId="6" name="PivotTable2"/>
    <pivotTable tabId="8" name="PivotTable4"/>
    <pivotTable tabId="9" name="PivotTable5"/>
    <pivotTable tabId="14" name="PivotTable7"/>
  </pivotTables>
  <data>
    <tabular pivotCacheId="205351622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tatus" xr10:uid="{AEF0BF94-7B35-4ACC-8529-0991EBD82B2E}" sourceName="stock status">
  <pivotTables>
    <pivotTable tabId="4" name="PivotTable1"/>
    <pivotTable tabId="10" name="PivotTable6"/>
    <pivotTable tabId="7" name="PivotTable3"/>
    <pivotTable tabId="6" name="PivotTable2"/>
    <pivotTable tabId="8" name="PivotTable4"/>
    <pivotTable tabId="9" name="PivotTable5"/>
    <pivotTable tabId="14" name="PivotTable7"/>
  </pivotTables>
  <data>
    <tabular pivotCacheId="2053516221">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C35B1D12-D510-4A91-988C-63903003C460}" sourceName="Supplier">
  <pivotTables>
    <pivotTable tabId="4" name="PivotTable1"/>
    <pivotTable tabId="10" name="PivotTable6"/>
    <pivotTable tabId="7" name="PivotTable3"/>
    <pivotTable tabId="6" name="PivotTable2"/>
    <pivotTable tabId="8" name="PivotTable4"/>
    <pivotTable tabId="9" name="PivotTable5"/>
    <pivotTable tabId="14" name="PivotTable7"/>
  </pivotTables>
  <data>
    <tabular pivotCacheId="2053516221">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ageLocation" xr10:uid="{5FA7E4B2-3779-4ED1-8842-09B4D035AB35}" sourceName="StorageLocation">
  <pivotTables>
    <pivotTable tabId="4" name="PivotTable1"/>
    <pivotTable tabId="10" name="PivotTable6"/>
    <pivotTable tabId="7" name="PivotTable3"/>
    <pivotTable tabId="6" name="PivotTable2"/>
    <pivotTable tabId="8" name="PivotTable4"/>
    <pivotTable tabId="9" name="PivotTable5"/>
    <pivotTable tabId="14" name="PivotTable7"/>
  </pivotTables>
  <data>
    <tabular pivotCacheId="2053516221">
      <items count="5">
        <i x="4" s="1"/>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8A15780-15CC-4397-963B-5A09F80C1BDE}" cache="Slicer_Category" caption="Category" rowHeight="234950"/>
  <slicer name="stock status" xr10:uid="{882E7694-4E0F-4AD0-A500-4015195A5ACE}" cache="Slicer_stock_status" caption="stock status" rowHeight="234950"/>
  <slicer name="Supplier" xr10:uid="{548FFCA4-AF4A-4926-84CE-FD039355082C}" cache="Slicer_Supplier" caption="Supplier" rowHeight="234950"/>
  <slicer name="StorageLocation" xr10:uid="{04A9DFEF-F59F-4743-87D8-18FAE13878BF}" cache="Slicer_StorageLocation" caption="StorageLoc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5502BD-C6BE-4283-8745-92DA62C93899}" name="Table2" displayName="Table2" ref="A1:I501" totalsRowShown="0" headerRowDxfId="28" dataDxfId="26" headerRowBorderDxfId="27" tableBorderDxfId="25">
  <autoFilter ref="A1:I501" xr:uid="{BC5502BD-C6BE-4283-8745-92DA62C93899}"/>
  <tableColumns count="9">
    <tableColumn id="1" xr3:uid="{3F153600-BCEE-4589-8F4A-F4D858AEF798}" name="ProductID" dataDxfId="24"/>
    <tableColumn id="2" xr3:uid="{2BFFA8B4-54AD-4BC3-8A8C-64EBDCA953E0}" name="ProductName" dataDxfId="23"/>
    <tableColumn id="3" xr3:uid="{B918293A-325E-44E1-AC6E-7A69B602F386}" name="QuantityInStock" dataDxfId="22"/>
    <tableColumn id="4" xr3:uid="{3F6A0B15-4B78-4AC8-9C5D-BA5D427E0B48}" name="ReorderPoint" dataDxfId="21"/>
    <tableColumn id="5" xr3:uid="{90DACE25-3663-4335-BD95-9ECD6A209E78}" name="Supplier" dataDxfId="20"/>
    <tableColumn id="6" xr3:uid="{3F2DCA47-7D20-477B-8F19-0717B8712E1E}" name="SupplierContact" dataDxfId="19"/>
    <tableColumn id="7" xr3:uid="{17A60252-4B2C-467F-A883-69BB2A5B56DB}" name="LeadTime" dataDxfId="18"/>
    <tableColumn id="8" xr3:uid="{426092B4-B5C2-46CF-B6C6-B83FC14A9AA0}" name="StorageLocation" dataDxfId="17"/>
    <tableColumn id="9" xr3:uid="{CE1D381C-4A6B-49FA-93DE-2C72406703D9}" name="UnitCost" dataDxfId="16"/>
  </tableColumns>
  <tableStyleInfo name="TableStyleDark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CED6F5-AD2E-4DEE-B31A-D73A49B60477}" name="Table24" displayName="Table24" ref="A1:L501" totalsRowShown="0" headerRowDxfId="15" dataDxfId="13" headerRowBorderDxfId="14" tableBorderDxfId="12">
  <autoFilter ref="A1:L501" xr:uid="{BBCED6F5-AD2E-4DEE-B31A-D73A49B60477}"/>
  <tableColumns count="12">
    <tableColumn id="1" xr3:uid="{D435D8A6-ADF3-46BF-A86B-068EC9416590}" name="ProductID" dataDxfId="11"/>
    <tableColumn id="2" xr3:uid="{1148F111-1442-4C76-8914-A7644E59B225}" name="ProductName" dataDxfId="10"/>
    <tableColumn id="13" xr3:uid="{E3CB4856-5014-4A6A-879B-59B8AFA28DDE}" name="Category" dataDxfId="9">
      <calculatedColumnFormula>_xlfn.XLOOKUP(Table24[[#This Row],[ProductName]],Table4[Product name],Table4[Category],"Not Found",0)</calculatedColumnFormula>
    </tableColumn>
    <tableColumn id="3" xr3:uid="{07793833-C79F-462A-9152-AF47ECC06275}" name="QuantityInStock" dataDxfId="8"/>
    <tableColumn id="4" xr3:uid="{078C2811-5DC2-4583-A4F6-AE0BE31B0E7F}" name="ReorderPoint" dataDxfId="7"/>
    <tableColumn id="11" xr3:uid="{3B19B124-B30F-4340-AE3F-83DC54BFB298}" name="stock status" dataDxfId="6">
      <calculatedColumnFormula array="1">_xlfn.IFS(Table24[[#This Row],[QuantityInStock]]&lt;=Table24[[#This Row],[ReorderPoint]],"Low Stock",Table24[[#This Row],[QuantityInStock]]&gt;Table24[[#This Row],[ReorderPoint]],"Adequate Stock",Table24[[#This Row],[QuantityInStock]]=0,"Out Of Stock")</calculatedColumnFormula>
    </tableColumn>
    <tableColumn id="5" xr3:uid="{B943A31F-7D37-4876-A7DE-FF6279322B09}" name="Supplier" dataDxfId="5"/>
    <tableColumn id="6" xr3:uid="{C9AD53D3-8F61-4289-9DB6-61487E09DDE0}" name="SupplierContact" dataDxfId="4"/>
    <tableColumn id="7" xr3:uid="{EC02C3BB-31C2-4D43-8BAC-6D6990742A69}" name="LeadTime" dataDxfId="3"/>
    <tableColumn id="8" xr3:uid="{999C5A85-989D-4B12-8543-2A41737294F0}" name="StorageLocation" dataDxfId="2"/>
    <tableColumn id="9" xr3:uid="{01BF71A2-4A93-44C0-9CA3-1E0DE7FD8761}" name="UnitCost" dataDxfId="1"/>
    <tableColumn id="12" xr3:uid="{C00A9564-7AD6-474B-9DC9-DA497800A68D}" name="Inventory value" dataDxfId="0">
      <calculatedColumnFormula>Table24[[#This Row],[QuantityInStock]]*Table24[[#This Row],[UnitCost]]</calculatedColumnFormula>
    </tableColumn>
  </tableColumns>
  <tableStyleInfo name="TableStyleDark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0DCE18-00B2-4E90-B192-7AC7A3F4386E}" name="Table4" displayName="Table4" ref="Q6:R13" totalsRowShown="0">
  <autoFilter ref="Q6:R13" xr:uid="{C40DCE18-00B2-4E90-B192-7AC7A3F4386E}"/>
  <tableColumns count="2">
    <tableColumn id="1" xr3:uid="{E7CF50CA-DE5B-4CBE-879D-61095A475A60}" name="Product name"/>
    <tableColumn id="2" xr3:uid="{EF27A731-8680-49B8-9A56-7E982217A780}" name="Category"/>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workbookViewId="0">
      <selection sqref="A1:I501"/>
    </sheetView>
  </sheetViews>
  <sheetFormatPr defaultRowHeight="14.4" x14ac:dyDescent="0.3"/>
  <cols>
    <col min="1" max="1" width="13.88671875" bestFit="1" customWidth="1"/>
    <col min="2" max="2" width="17.109375" bestFit="1" customWidth="1"/>
    <col min="3" max="3" width="19.21875" bestFit="1" customWidth="1"/>
    <col min="4" max="4" width="16.5546875" bestFit="1" customWidth="1"/>
    <col min="5" max="5" width="12.33203125" bestFit="1" customWidth="1"/>
    <col min="6" max="6" width="23.6640625" bestFit="1" customWidth="1"/>
    <col min="7" max="7" width="13.5546875" bestFit="1" customWidth="1"/>
    <col min="8" max="8" width="19.21875" bestFit="1" customWidth="1"/>
    <col min="9" max="9" width="12.6640625" bestFit="1" customWidth="1"/>
  </cols>
  <sheetData>
    <row r="1" spans="1:9" x14ac:dyDescent="0.3">
      <c r="A1" s="1" t="s">
        <v>0</v>
      </c>
      <c r="B1" s="1" t="s">
        <v>1</v>
      </c>
      <c r="C1" s="1" t="s">
        <v>2</v>
      </c>
      <c r="D1" s="1" t="s">
        <v>3</v>
      </c>
      <c r="E1" s="1" t="s">
        <v>4</v>
      </c>
      <c r="F1" s="1" t="s">
        <v>5</v>
      </c>
      <c r="G1" s="1" t="s">
        <v>6</v>
      </c>
      <c r="H1" s="1" t="s">
        <v>7</v>
      </c>
      <c r="I1" s="1" t="s">
        <v>8</v>
      </c>
    </row>
    <row r="2" spans="1:9" x14ac:dyDescent="0.3">
      <c r="A2" s="2" t="s">
        <v>9</v>
      </c>
      <c r="B2" s="2" t="s">
        <v>509</v>
      </c>
      <c r="C2" s="2">
        <v>97</v>
      </c>
      <c r="D2" s="2">
        <v>81</v>
      </c>
      <c r="E2" s="2" t="s">
        <v>516</v>
      </c>
      <c r="F2" s="2" t="s">
        <v>520</v>
      </c>
      <c r="G2" s="2">
        <v>17</v>
      </c>
      <c r="H2" s="2" t="s">
        <v>524</v>
      </c>
      <c r="I2" s="2">
        <v>174.13</v>
      </c>
    </row>
    <row r="3" spans="1:9" x14ac:dyDescent="0.3">
      <c r="A3" s="2" t="s">
        <v>10</v>
      </c>
      <c r="B3" s="2" t="s">
        <v>509</v>
      </c>
      <c r="C3" s="2">
        <v>229</v>
      </c>
      <c r="D3" s="2">
        <v>32</v>
      </c>
      <c r="E3" s="2" t="s">
        <v>517</v>
      </c>
      <c r="F3" s="2" t="s">
        <v>521</v>
      </c>
      <c r="G3" s="2">
        <v>19</v>
      </c>
      <c r="H3" s="2" t="s">
        <v>525</v>
      </c>
      <c r="I3" s="2">
        <v>91.07</v>
      </c>
    </row>
    <row r="4" spans="1:9" x14ac:dyDescent="0.3">
      <c r="A4" s="2" t="s">
        <v>11</v>
      </c>
      <c r="B4" s="2" t="s">
        <v>510</v>
      </c>
      <c r="C4" s="2">
        <v>15</v>
      </c>
      <c r="D4" s="2">
        <v>72</v>
      </c>
      <c r="E4" s="2" t="s">
        <v>516</v>
      </c>
      <c r="F4" s="2" t="s">
        <v>520</v>
      </c>
      <c r="G4" s="2">
        <v>13</v>
      </c>
      <c r="H4" s="2" t="s">
        <v>524</v>
      </c>
      <c r="I4" s="2">
        <v>179.93</v>
      </c>
    </row>
    <row r="5" spans="1:9" x14ac:dyDescent="0.3">
      <c r="A5" s="2" t="s">
        <v>12</v>
      </c>
      <c r="B5" s="2" t="s">
        <v>511</v>
      </c>
      <c r="C5" s="2">
        <v>35</v>
      </c>
      <c r="D5" s="2">
        <v>56</v>
      </c>
      <c r="E5" s="2" t="s">
        <v>516</v>
      </c>
      <c r="F5" s="2" t="s">
        <v>520</v>
      </c>
      <c r="G5" s="2">
        <v>21</v>
      </c>
      <c r="H5" s="2" t="s">
        <v>526</v>
      </c>
      <c r="I5" s="2">
        <v>159.55000000000001</v>
      </c>
    </row>
    <row r="6" spans="1:9" x14ac:dyDescent="0.3">
      <c r="A6" s="2" t="s">
        <v>13</v>
      </c>
      <c r="B6" s="2" t="s">
        <v>512</v>
      </c>
      <c r="C6" s="2">
        <v>442</v>
      </c>
      <c r="D6" s="2">
        <v>64</v>
      </c>
      <c r="E6" s="2" t="s">
        <v>518</v>
      </c>
      <c r="F6" s="2" t="s">
        <v>522</v>
      </c>
      <c r="G6" s="2">
        <v>8</v>
      </c>
      <c r="H6" s="2" t="s">
        <v>525</v>
      </c>
      <c r="I6" s="2">
        <v>2.02</v>
      </c>
    </row>
    <row r="7" spans="1:9" x14ac:dyDescent="0.3">
      <c r="A7" s="2" t="s">
        <v>14</v>
      </c>
      <c r="B7" s="2" t="s">
        <v>510</v>
      </c>
      <c r="C7" s="2">
        <v>99</v>
      </c>
      <c r="D7" s="2">
        <v>79</v>
      </c>
      <c r="E7" s="2" t="s">
        <v>517</v>
      </c>
      <c r="F7" s="2" t="s">
        <v>521</v>
      </c>
      <c r="G7" s="2">
        <v>6</v>
      </c>
      <c r="H7" s="2" t="s">
        <v>524</v>
      </c>
      <c r="I7" s="2">
        <v>116.17</v>
      </c>
    </row>
    <row r="8" spans="1:9" x14ac:dyDescent="0.3">
      <c r="A8" s="2" t="s">
        <v>15</v>
      </c>
      <c r="B8" s="2" t="s">
        <v>510</v>
      </c>
      <c r="C8" s="2">
        <v>286</v>
      </c>
      <c r="D8" s="2">
        <v>33</v>
      </c>
      <c r="E8" s="2" t="s">
        <v>519</v>
      </c>
      <c r="F8" s="2" t="s">
        <v>523</v>
      </c>
      <c r="G8" s="2">
        <v>17</v>
      </c>
      <c r="H8" s="2" t="s">
        <v>527</v>
      </c>
      <c r="I8" s="2">
        <v>157.27000000000001</v>
      </c>
    </row>
    <row r="9" spans="1:9" x14ac:dyDescent="0.3">
      <c r="A9" s="2" t="s">
        <v>16</v>
      </c>
      <c r="B9" s="2" t="s">
        <v>509</v>
      </c>
      <c r="C9" s="2">
        <v>228</v>
      </c>
      <c r="D9" s="2">
        <v>45</v>
      </c>
      <c r="E9" s="2" t="s">
        <v>516</v>
      </c>
      <c r="F9" s="2" t="s">
        <v>520</v>
      </c>
      <c r="G9" s="2">
        <v>18</v>
      </c>
      <c r="H9" s="2" t="s">
        <v>524</v>
      </c>
      <c r="I9" s="2">
        <v>3.93</v>
      </c>
    </row>
    <row r="10" spans="1:9" x14ac:dyDescent="0.3">
      <c r="A10" s="2" t="s">
        <v>17</v>
      </c>
      <c r="B10" s="2" t="s">
        <v>511</v>
      </c>
      <c r="C10" s="2">
        <v>54</v>
      </c>
      <c r="D10" s="2">
        <v>99</v>
      </c>
      <c r="E10" s="2" t="s">
        <v>519</v>
      </c>
      <c r="F10" s="2" t="s">
        <v>523</v>
      </c>
      <c r="G10" s="2">
        <v>11</v>
      </c>
      <c r="H10" s="2" t="s">
        <v>527</v>
      </c>
      <c r="I10" s="2">
        <v>102.09</v>
      </c>
    </row>
    <row r="11" spans="1:9" x14ac:dyDescent="0.3">
      <c r="A11" s="2" t="s">
        <v>18</v>
      </c>
      <c r="B11" s="2" t="s">
        <v>513</v>
      </c>
      <c r="C11" s="2">
        <v>396</v>
      </c>
      <c r="D11" s="2">
        <v>84</v>
      </c>
      <c r="E11" s="2" t="s">
        <v>519</v>
      </c>
      <c r="F11" s="2" t="s">
        <v>523</v>
      </c>
      <c r="G11" s="2">
        <v>17</v>
      </c>
      <c r="H11" s="2" t="s">
        <v>525</v>
      </c>
      <c r="I11" s="2">
        <v>147.57</v>
      </c>
    </row>
    <row r="12" spans="1:9" x14ac:dyDescent="0.3">
      <c r="A12" s="2" t="s">
        <v>19</v>
      </c>
      <c r="B12" s="2" t="s">
        <v>514</v>
      </c>
      <c r="C12" s="2">
        <v>163</v>
      </c>
      <c r="D12" s="2">
        <v>44</v>
      </c>
      <c r="E12" s="2" t="s">
        <v>516</v>
      </c>
      <c r="F12" s="2" t="s">
        <v>520</v>
      </c>
      <c r="G12" s="2">
        <v>17</v>
      </c>
      <c r="H12" s="2" t="s">
        <v>524</v>
      </c>
      <c r="I12" s="2">
        <v>155.35</v>
      </c>
    </row>
    <row r="13" spans="1:9" x14ac:dyDescent="0.3">
      <c r="A13" s="2" t="s">
        <v>20</v>
      </c>
      <c r="B13" s="2" t="s">
        <v>513</v>
      </c>
      <c r="C13" s="2">
        <v>445</v>
      </c>
      <c r="D13" s="2">
        <v>80</v>
      </c>
      <c r="E13" s="2" t="s">
        <v>517</v>
      </c>
      <c r="F13" s="2" t="s">
        <v>521</v>
      </c>
      <c r="G13" s="2">
        <v>20</v>
      </c>
      <c r="H13" s="2" t="s">
        <v>528</v>
      </c>
      <c r="I13" s="2">
        <v>4.07</v>
      </c>
    </row>
    <row r="14" spans="1:9" x14ac:dyDescent="0.3">
      <c r="A14" s="2" t="s">
        <v>21</v>
      </c>
      <c r="B14" s="2" t="s">
        <v>512</v>
      </c>
      <c r="C14" s="2">
        <v>437</v>
      </c>
      <c r="D14" s="2">
        <v>83</v>
      </c>
      <c r="E14" s="2" t="s">
        <v>519</v>
      </c>
      <c r="F14" s="2" t="s">
        <v>523</v>
      </c>
      <c r="G14" s="2">
        <v>11</v>
      </c>
      <c r="H14" s="2" t="s">
        <v>526</v>
      </c>
      <c r="I14" s="2">
        <v>128.82</v>
      </c>
    </row>
    <row r="15" spans="1:9" x14ac:dyDescent="0.3">
      <c r="A15" s="2" t="s">
        <v>22</v>
      </c>
      <c r="B15" s="2" t="s">
        <v>512</v>
      </c>
      <c r="C15" s="2">
        <v>301</v>
      </c>
      <c r="D15" s="2">
        <v>27</v>
      </c>
      <c r="E15" s="2" t="s">
        <v>516</v>
      </c>
      <c r="F15" s="2" t="s">
        <v>520</v>
      </c>
      <c r="G15" s="2">
        <v>10</v>
      </c>
      <c r="H15" s="2" t="s">
        <v>525</v>
      </c>
      <c r="I15" s="2">
        <v>66.48</v>
      </c>
    </row>
    <row r="16" spans="1:9" x14ac:dyDescent="0.3">
      <c r="A16" s="2" t="s">
        <v>23</v>
      </c>
      <c r="B16" s="2" t="s">
        <v>511</v>
      </c>
      <c r="C16" s="2">
        <v>16</v>
      </c>
      <c r="D16" s="2">
        <v>70</v>
      </c>
      <c r="E16" s="2" t="s">
        <v>518</v>
      </c>
      <c r="F16" s="2" t="s">
        <v>522</v>
      </c>
      <c r="G16" s="2">
        <v>3</v>
      </c>
      <c r="H16" s="2" t="s">
        <v>528</v>
      </c>
      <c r="I16" s="2">
        <v>182.34</v>
      </c>
    </row>
    <row r="17" spans="1:9" x14ac:dyDescent="0.3">
      <c r="A17" s="2" t="s">
        <v>24</v>
      </c>
      <c r="B17" s="2" t="s">
        <v>513</v>
      </c>
      <c r="C17" s="2">
        <v>176</v>
      </c>
      <c r="D17" s="2">
        <v>53</v>
      </c>
      <c r="E17" s="2" t="s">
        <v>517</v>
      </c>
      <c r="F17" s="2" t="s">
        <v>521</v>
      </c>
      <c r="G17" s="2">
        <v>15</v>
      </c>
      <c r="H17" s="2" t="s">
        <v>526</v>
      </c>
      <c r="I17" s="2">
        <v>68.77</v>
      </c>
    </row>
    <row r="18" spans="1:9" x14ac:dyDescent="0.3">
      <c r="A18" s="2" t="s">
        <v>25</v>
      </c>
      <c r="B18" s="2" t="s">
        <v>511</v>
      </c>
      <c r="C18" s="2">
        <v>186</v>
      </c>
      <c r="D18" s="2">
        <v>76</v>
      </c>
      <c r="E18" s="2" t="s">
        <v>519</v>
      </c>
      <c r="F18" s="2" t="s">
        <v>523</v>
      </c>
      <c r="G18" s="2">
        <v>9</v>
      </c>
      <c r="H18" s="2" t="s">
        <v>525</v>
      </c>
      <c r="I18" s="2">
        <v>47.17</v>
      </c>
    </row>
    <row r="19" spans="1:9" x14ac:dyDescent="0.3">
      <c r="A19" s="2" t="s">
        <v>26</v>
      </c>
      <c r="B19" s="2" t="s">
        <v>513</v>
      </c>
      <c r="C19" s="2">
        <v>229</v>
      </c>
      <c r="D19" s="2">
        <v>72</v>
      </c>
      <c r="E19" s="2" t="s">
        <v>519</v>
      </c>
      <c r="F19" s="2" t="s">
        <v>523</v>
      </c>
      <c r="G19" s="2">
        <v>15</v>
      </c>
      <c r="H19" s="2" t="s">
        <v>527</v>
      </c>
      <c r="I19" s="2">
        <v>96.59</v>
      </c>
    </row>
    <row r="20" spans="1:9" x14ac:dyDescent="0.3">
      <c r="A20" s="2" t="s">
        <v>27</v>
      </c>
      <c r="B20" s="2" t="s">
        <v>515</v>
      </c>
      <c r="C20" s="2">
        <v>444</v>
      </c>
      <c r="D20" s="2">
        <v>33</v>
      </c>
      <c r="E20" s="2" t="s">
        <v>518</v>
      </c>
      <c r="F20" s="2" t="s">
        <v>522</v>
      </c>
      <c r="G20" s="2">
        <v>4</v>
      </c>
      <c r="H20" s="2" t="s">
        <v>525</v>
      </c>
      <c r="I20" s="2">
        <v>5.48</v>
      </c>
    </row>
    <row r="21" spans="1:9" x14ac:dyDescent="0.3">
      <c r="A21" s="2" t="s">
        <v>28</v>
      </c>
      <c r="B21" s="2" t="s">
        <v>514</v>
      </c>
      <c r="C21" s="2">
        <v>405</v>
      </c>
      <c r="D21" s="2">
        <v>34</v>
      </c>
      <c r="E21" s="2" t="s">
        <v>519</v>
      </c>
      <c r="F21" s="2" t="s">
        <v>523</v>
      </c>
      <c r="G21" s="2">
        <v>17</v>
      </c>
      <c r="H21" s="2" t="s">
        <v>527</v>
      </c>
      <c r="I21" s="2">
        <v>92.46</v>
      </c>
    </row>
    <row r="22" spans="1:9" x14ac:dyDescent="0.3">
      <c r="A22" s="2" t="s">
        <v>29</v>
      </c>
      <c r="B22" s="2" t="s">
        <v>514</v>
      </c>
      <c r="C22" s="2">
        <v>132</v>
      </c>
      <c r="D22" s="2">
        <v>33</v>
      </c>
      <c r="E22" s="2" t="s">
        <v>516</v>
      </c>
      <c r="F22" s="2" t="s">
        <v>520</v>
      </c>
      <c r="G22" s="2">
        <v>10</v>
      </c>
      <c r="H22" s="2" t="s">
        <v>528</v>
      </c>
      <c r="I22" s="2">
        <v>60.53</v>
      </c>
    </row>
    <row r="23" spans="1:9" x14ac:dyDescent="0.3">
      <c r="A23" s="2" t="s">
        <v>30</v>
      </c>
      <c r="B23" s="2" t="s">
        <v>514</v>
      </c>
      <c r="C23" s="2">
        <v>485</v>
      </c>
      <c r="D23" s="2">
        <v>64</v>
      </c>
      <c r="E23" s="2" t="s">
        <v>518</v>
      </c>
      <c r="F23" s="2" t="s">
        <v>522</v>
      </c>
      <c r="G23" s="2">
        <v>6</v>
      </c>
      <c r="H23" s="2" t="s">
        <v>528</v>
      </c>
      <c r="I23" s="2">
        <v>194.42</v>
      </c>
    </row>
    <row r="24" spans="1:9" x14ac:dyDescent="0.3">
      <c r="A24" s="2" t="s">
        <v>31</v>
      </c>
      <c r="B24" s="2" t="s">
        <v>514</v>
      </c>
      <c r="C24" s="2">
        <v>68</v>
      </c>
      <c r="D24" s="2">
        <v>39</v>
      </c>
      <c r="E24" s="2" t="s">
        <v>519</v>
      </c>
      <c r="F24" s="2" t="s">
        <v>523</v>
      </c>
      <c r="G24" s="2">
        <v>13</v>
      </c>
      <c r="H24" s="2" t="s">
        <v>527</v>
      </c>
      <c r="I24" s="2">
        <v>176.51</v>
      </c>
    </row>
    <row r="25" spans="1:9" x14ac:dyDescent="0.3">
      <c r="A25" s="2" t="s">
        <v>32</v>
      </c>
      <c r="B25" s="2" t="s">
        <v>511</v>
      </c>
      <c r="C25" s="2">
        <v>304</v>
      </c>
      <c r="D25" s="2">
        <v>30</v>
      </c>
      <c r="E25" s="2" t="s">
        <v>517</v>
      </c>
      <c r="F25" s="2" t="s">
        <v>521</v>
      </c>
      <c r="G25" s="2">
        <v>15</v>
      </c>
      <c r="H25" s="2" t="s">
        <v>524</v>
      </c>
      <c r="I25" s="2">
        <v>74.44</v>
      </c>
    </row>
    <row r="26" spans="1:9" x14ac:dyDescent="0.3">
      <c r="A26" s="2" t="s">
        <v>33</v>
      </c>
      <c r="B26" s="2" t="s">
        <v>515</v>
      </c>
      <c r="C26" s="2">
        <v>171</v>
      </c>
      <c r="D26" s="2">
        <v>60</v>
      </c>
      <c r="E26" s="2" t="s">
        <v>518</v>
      </c>
      <c r="F26" s="2" t="s">
        <v>522</v>
      </c>
      <c r="G26" s="2">
        <v>4</v>
      </c>
      <c r="H26" s="2" t="s">
        <v>525</v>
      </c>
      <c r="I26" s="2">
        <v>112.65</v>
      </c>
    </row>
    <row r="27" spans="1:9" x14ac:dyDescent="0.3">
      <c r="A27" s="2" t="s">
        <v>34</v>
      </c>
      <c r="B27" s="2" t="s">
        <v>509</v>
      </c>
      <c r="C27" s="2">
        <v>1</v>
      </c>
      <c r="D27" s="2">
        <v>55</v>
      </c>
      <c r="E27" s="2" t="s">
        <v>519</v>
      </c>
      <c r="F27" s="2" t="s">
        <v>523</v>
      </c>
      <c r="G27" s="2">
        <v>12</v>
      </c>
      <c r="H27" s="2" t="s">
        <v>527</v>
      </c>
      <c r="I27" s="2">
        <v>18.690000000000001</v>
      </c>
    </row>
    <row r="28" spans="1:9" x14ac:dyDescent="0.3">
      <c r="A28" s="2" t="s">
        <v>35</v>
      </c>
      <c r="B28" s="2" t="s">
        <v>515</v>
      </c>
      <c r="C28" s="2">
        <v>322</v>
      </c>
      <c r="D28" s="2">
        <v>73</v>
      </c>
      <c r="E28" s="2" t="s">
        <v>517</v>
      </c>
      <c r="F28" s="2" t="s">
        <v>521</v>
      </c>
      <c r="G28" s="2">
        <v>9</v>
      </c>
      <c r="H28" s="2" t="s">
        <v>528</v>
      </c>
      <c r="I28" s="2">
        <v>168.96</v>
      </c>
    </row>
    <row r="29" spans="1:9" x14ac:dyDescent="0.3">
      <c r="A29" s="2" t="s">
        <v>36</v>
      </c>
      <c r="B29" s="2" t="s">
        <v>515</v>
      </c>
      <c r="C29" s="2">
        <v>291</v>
      </c>
      <c r="D29" s="2">
        <v>53</v>
      </c>
      <c r="E29" s="2" t="s">
        <v>517</v>
      </c>
      <c r="F29" s="2" t="s">
        <v>521</v>
      </c>
      <c r="G29" s="2">
        <v>10</v>
      </c>
      <c r="H29" s="2" t="s">
        <v>527</v>
      </c>
      <c r="I29" s="2">
        <v>161.77000000000001</v>
      </c>
    </row>
    <row r="30" spans="1:9" x14ac:dyDescent="0.3">
      <c r="A30" s="2" t="s">
        <v>37</v>
      </c>
      <c r="B30" s="2" t="s">
        <v>509</v>
      </c>
      <c r="C30" s="2">
        <v>385</v>
      </c>
      <c r="D30" s="2">
        <v>57</v>
      </c>
      <c r="E30" s="2" t="s">
        <v>516</v>
      </c>
      <c r="F30" s="2" t="s">
        <v>520</v>
      </c>
      <c r="G30" s="2">
        <v>10</v>
      </c>
      <c r="H30" s="2" t="s">
        <v>528</v>
      </c>
      <c r="I30" s="2">
        <v>169.39</v>
      </c>
    </row>
    <row r="31" spans="1:9" x14ac:dyDescent="0.3">
      <c r="A31" s="2" t="s">
        <v>38</v>
      </c>
      <c r="B31" s="2" t="s">
        <v>511</v>
      </c>
      <c r="C31" s="2">
        <v>285</v>
      </c>
      <c r="D31" s="2">
        <v>48</v>
      </c>
      <c r="E31" s="2" t="s">
        <v>518</v>
      </c>
      <c r="F31" s="2" t="s">
        <v>522</v>
      </c>
      <c r="G31" s="2">
        <v>20</v>
      </c>
      <c r="H31" s="2" t="s">
        <v>526</v>
      </c>
      <c r="I31" s="2">
        <v>155.59</v>
      </c>
    </row>
    <row r="32" spans="1:9" x14ac:dyDescent="0.3">
      <c r="A32" s="2" t="s">
        <v>39</v>
      </c>
      <c r="B32" s="2" t="s">
        <v>515</v>
      </c>
      <c r="C32" s="2">
        <v>253</v>
      </c>
      <c r="D32" s="2">
        <v>42</v>
      </c>
      <c r="E32" s="2" t="s">
        <v>518</v>
      </c>
      <c r="F32" s="2" t="s">
        <v>522</v>
      </c>
      <c r="G32" s="2">
        <v>11</v>
      </c>
      <c r="H32" s="2" t="s">
        <v>525</v>
      </c>
      <c r="I32" s="2">
        <v>175.7</v>
      </c>
    </row>
    <row r="33" spans="1:9" x14ac:dyDescent="0.3">
      <c r="A33" s="2" t="s">
        <v>40</v>
      </c>
      <c r="B33" s="2" t="s">
        <v>509</v>
      </c>
      <c r="C33" s="2">
        <v>374</v>
      </c>
      <c r="D33" s="2">
        <v>50</v>
      </c>
      <c r="E33" s="2" t="s">
        <v>518</v>
      </c>
      <c r="F33" s="2" t="s">
        <v>522</v>
      </c>
      <c r="G33" s="2">
        <v>6</v>
      </c>
      <c r="H33" s="2" t="s">
        <v>526</v>
      </c>
      <c r="I33" s="2">
        <v>156.4</v>
      </c>
    </row>
    <row r="34" spans="1:9" x14ac:dyDescent="0.3">
      <c r="A34" s="2" t="s">
        <v>41</v>
      </c>
      <c r="B34" s="2" t="s">
        <v>510</v>
      </c>
      <c r="C34" s="2">
        <v>221</v>
      </c>
      <c r="D34" s="2">
        <v>67</v>
      </c>
      <c r="E34" s="2" t="s">
        <v>519</v>
      </c>
      <c r="F34" s="2" t="s">
        <v>523</v>
      </c>
      <c r="G34" s="2">
        <v>19</v>
      </c>
      <c r="H34" s="2" t="s">
        <v>527</v>
      </c>
      <c r="I34" s="2">
        <v>2.8</v>
      </c>
    </row>
    <row r="35" spans="1:9" x14ac:dyDescent="0.3">
      <c r="A35" s="2" t="s">
        <v>42</v>
      </c>
      <c r="B35" s="2" t="s">
        <v>511</v>
      </c>
      <c r="C35" s="2">
        <v>476</v>
      </c>
      <c r="D35" s="2">
        <v>99</v>
      </c>
      <c r="E35" s="2" t="s">
        <v>517</v>
      </c>
      <c r="F35" s="2" t="s">
        <v>521</v>
      </c>
      <c r="G35" s="2">
        <v>17</v>
      </c>
      <c r="H35" s="2" t="s">
        <v>528</v>
      </c>
      <c r="I35" s="2">
        <v>175.08</v>
      </c>
    </row>
    <row r="36" spans="1:9" x14ac:dyDescent="0.3">
      <c r="A36" s="2" t="s">
        <v>43</v>
      </c>
      <c r="B36" s="2" t="s">
        <v>512</v>
      </c>
      <c r="C36" s="2">
        <v>73</v>
      </c>
      <c r="D36" s="2">
        <v>33</v>
      </c>
      <c r="E36" s="2" t="s">
        <v>519</v>
      </c>
      <c r="F36" s="2" t="s">
        <v>523</v>
      </c>
      <c r="G36" s="2">
        <v>6</v>
      </c>
      <c r="H36" s="2" t="s">
        <v>525</v>
      </c>
      <c r="I36" s="2">
        <v>116.8</v>
      </c>
    </row>
    <row r="37" spans="1:9" x14ac:dyDescent="0.3">
      <c r="A37" s="2" t="s">
        <v>44</v>
      </c>
      <c r="B37" s="2" t="s">
        <v>515</v>
      </c>
      <c r="C37" s="2">
        <v>367</v>
      </c>
      <c r="D37" s="2">
        <v>81</v>
      </c>
      <c r="E37" s="2" t="s">
        <v>518</v>
      </c>
      <c r="F37" s="2" t="s">
        <v>522</v>
      </c>
      <c r="G37" s="2">
        <v>14</v>
      </c>
      <c r="H37" s="2" t="s">
        <v>528</v>
      </c>
      <c r="I37" s="2">
        <v>77.84</v>
      </c>
    </row>
    <row r="38" spans="1:9" x14ac:dyDescent="0.3">
      <c r="A38" s="2" t="s">
        <v>45</v>
      </c>
      <c r="B38" s="2" t="s">
        <v>509</v>
      </c>
      <c r="C38" s="2">
        <v>314</v>
      </c>
      <c r="D38" s="2">
        <v>90</v>
      </c>
      <c r="E38" s="2" t="s">
        <v>517</v>
      </c>
      <c r="F38" s="2" t="s">
        <v>521</v>
      </c>
      <c r="G38" s="2">
        <v>8</v>
      </c>
      <c r="H38" s="2" t="s">
        <v>526</v>
      </c>
      <c r="I38" s="2">
        <v>94.12</v>
      </c>
    </row>
    <row r="39" spans="1:9" x14ac:dyDescent="0.3">
      <c r="A39" s="2" t="s">
        <v>46</v>
      </c>
      <c r="B39" s="2" t="s">
        <v>515</v>
      </c>
      <c r="C39" s="2">
        <v>38</v>
      </c>
      <c r="D39" s="2">
        <v>43</v>
      </c>
      <c r="E39" s="2" t="s">
        <v>517</v>
      </c>
      <c r="F39" s="2" t="s">
        <v>521</v>
      </c>
      <c r="G39" s="2">
        <v>14</v>
      </c>
      <c r="H39" s="2" t="s">
        <v>528</v>
      </c>
      <c r="I39" s="2">
        <v>177.72</v>
      </c>
    </row>
    <row r="40" spans="1:9" x14ac:dyDescent="0.3">
      <c r="A40" s="2" t="s">
        <v>47</v>
      </c>
      <c r="B40" s="2" t="s">
        <v>512</v>
      </c>
      <c r="C40" s="2">
        <v>423</v>
      </c>
      <c r="D40" s="2">
        <v>51</v>
      </c>
      <c r="E40" s="2" t="s">
        <v>519</v>
      </c>
      <c r="F40" s="2" t="s">
        <v>523</v>
      </c>
      <c r="G40" s="2">
        <v>21</v>
      </c>
      <c r="H40" s="2" t="s">
        <v>526</v>
      </c>
      <c r="I40" s="2">
        <v>154.86000000000001</v>
      </c>
    </row>
    <row r="41" spans="1:9" x14ac:dyDescent="0.3">
      <c r="A41" s="2" t="s">
        <v>48</v>
      </c>
      <c r="B41" s="2" t="s">
        <v>512</v>
      </c>
      <c r="C41" s="2">
        <v>447</v>
      </c>
      <c r="D41" s="2">
        <v>99</v>
      </c>
      <c r="E41" s="2" t="s">
        <v>516</v>
      </c>
      <c r="F41" s="2" t="s">
        <v>520</v>
      </c>
      <c r="G41" s="2">
        <v>9</v>
      </c>
      <c r="H41" s="2" t="s">
        <v>525</v>
      </c>
      <c r="I41" s="2">
        <v>28.72</v>
      </c>
    </row>
    <row r="42" spans="1:9" x14ac:dyDescent="0.3">
      <c r="A42" s="2" t="s">
        <v>49</v>
      </c>
      <c r="B42" s="2" t="s">
        <v>509</v>
      </c>
      <c r="C42" s="2">
        <v>379</v>
      </c>
      <c r="D42" s="2">
        <v>66</v>
      </c>
      <c r="E42" s="2" t="s">
        <v>519</v>
      </c>
      <c r="F42" s="2" t="s">
        <v>523</v>
      </c>
      <c r="G42" s="2">
        <v>18</v>
      </c>
      <c r="H42" s="2" t="s">
        <v>527</v>
      </c>
      <c r="I42" s="2">
        <v>67.36</v>
      </c>
    </row>
    <row r="43" spans="1:9" x14ac:dyDescent="0.3">
      <c r="A43" s="2" t="s">
        <v>50</v>
      </c>
      <c r="B43" s="2" t="s">
        <v>512</v>
      </c>
      <c r="C43" s="2">
        <v>479</v>
      </c>
      <c r="D43" s="2">
        <v>38</v>
      </c>
      <c r="E43" s="2" t="s">
        <v>518</v>
      </c>
      <c r="F43" s="2" t="s">
        <v>522</v>
      </c>
      <c r="G43" s="2">
        <v>21</v>
      </c>
      <c r="H43" s="2" t="s">
        <v>524</v>
      </c>
      <c r="I43" s="2">
        <v>46.56</v>
      </c>
    </row>
    <row r="44" spans="1:9" x14ac:dyDescent="0.3">
      <c r="A44" s="2" t="s">
        <v>51</v>
      </c>
      <c r="B44" s="2" t="s">
        <v>513</v>
      </c>
      <c r="C44" s="2">
        <v>14</v>
      </c>
      <c r="D44" s="2">
        <v>72</v>
      </c>
      <c r="E44" s="2" t="s">
        <v>517</v>
      </c>
      <c r="F44" s="2" t="s">
        <v>521</v>
      </c>
      <c r="G44" s="2">
        <v>21</v>
      </c>
      <c r="H44" s="2" t="s">
        <v>526</v>
      </c>
      <c r="I44" s="2">
        <v>104.55</v>
      </c>
    </row>
    <row r="45" spans="1:9" x14ac:dyDescent="0.3">
      <c r="A45" s="2" t="s">
        <v>52</v>
      </c>
      <c r="B45" s="2" t="s">
        <v>515</v>
      </c>
      <c r="C45" s="2">
        <v>223</v>
      </c>
      <c r="D45" s="2">
        <v>45</v>
      </c>
      <c r="E45" s="2" t="s">
        <v>516</v>
      </c>
      <c r="F45" s="2" t="s">
        <v>520</v>
      </c>
      <c r="G45" s="2">
        <v>11</v>
      </c>
      <c r="H45" s="2" t="s">
        <v>525</v>
      </c>
      <c r="I45" s="2">
        <v>199.86</v>
      </c>
    </row>
    <row r="46" spans="1:9" x14ac:dyDescent="0.3">
      <c r="A46" s="2" t="s">
        <v>53</v>
      </c>
      <c r="B46" s="2" t="s">
        <v>513</v>
      </c>
      <c r="C46" s="2">
        <v>82</v>
      </c>
      <c r="D46" s="2">
        <v>98</v>
      </c>
      <c r="E46" s="2" t="s">
        <v>516</v>
      </c>
      <c r="F46" s="2" t="s">
        <v>520</v>
      </c>
      <c r="G46" s="2">
        <v>8</v>
      </c>
      <c r="H46" s="2" t="s">
        <v>526</v>
      </c>
      <c r="I46" s="2">
        <v>183.72</v>
      </c>
    </row>
    <row r="47" spans="1:9" x14ac:dyDescent="0.3">
      <c r="A47" s="2" t="s">
        <v>54</v>
      </c>
      <c r="B47" s="2" t="s">
        <v>510</v>
      </c>
      <c r="C47" s="2">
        <v>439</v>
      </c>
      <c r="D47" s="2">
        <v>33</v>
      </c>
      <c r="E47" s="2" t="s">
        <v>516</v>
      </c>
      <c r="F47" s="2" t="s">
        <v>520</v>
      </c>
      <c r="G47" s="2">
        <v>18</v>
      </c>
      <c r="H47" s="2" t="s">
        <v>524</v>
      </c>
      <c r="I47" s="2">
        <v>81.16</v>
      </c>
    </row>
    <row r="48" spans="1:9" x14ac:dyDescent="0.3">
      <c r="A48" s="2" t="s">
        <v>55</v>
      </c>
      <c r="B48" s="2" t="s">
        <v>512</v>
      </c>
      <c r="C48" s="2">
        <v>430</v>
      </c>
      <c r="D48" s="2">
        <v>73</v>
      </c>
      <c r="E48" s="2" t="s">
        <v>517</v>
      </c>
      <c r="F48" s="2" t="s">
        <v>521</v>
      </c>
      <c r="G48" s="2">
        <v>9</v>
      </c>
      <c r="H48" s="2" t="s">
        <v>527</v>
      </c>
      <c r="I48" s="2">
        <v>142.19999999999999</v>
      </c>
    </row>
    <row r="49" spans="1:9" x14ac:dyDescent="0.3">
      <c r="A49" s="2" t="s">
        <v>56</v>
      </c>
      <c r="B49" s="2" t="s">
        <v>512</v>
      </c>
      <c r="C49" s="2">
        <v>391</v>
      </c>
      <c r="D49" s="2">
        <v>79</v>
      </c>
      <c r="E49" s="2" t="s">
        <v>516</v>
      </c>
      <c r="F49" s="2" t="s">
        <v>520</v>
      </c>
      <c r="G49" s="2">
        <v>14</v>
      </c>
      <c r="H49" s="2" t="s">
        <v>528</v>
      </c>
      <c r="I49" s="2">
        <v>12.09</v>
      </c>
    </row>
    <row r="50" spans="1:9" x14ac:dyDescent="0.3">
      <c r="A50" s="2" t="s">
        <v>57</v>
      </c>
      <c r="B50" s="2" t="s">
        <v>515</v>
      </c>
      <c r="C50" s="2">
        <v>156</v>
      </c>
      <c r="D50" s="2">
        <v>38</v>
      </c>
      <c r="E50" s="2" t="s">
        <v>518</v>
      </c>
      <c r="F50" s="2" t="s">
        <v>522</v>
      </c>
      <c r="G50" s="2">
        <v>16</v>
      </c>
      <c r="H50" s="2" t="s">
        <v>524</v>
      </c>
      <c r="I50" s="2">
        <v>42.39</v>
      </c>
    </row>
    <row r="51" spans="1:9" x14ac:dyDescent="0.3">
      <c r="A51" s="2" t="s">
        <v>58</v>
      </c>
      <c r="B51" s="2" t="s">
        <v>511</v>
      </c>
      <c r="C51" s="2">
        <v>61</v>
      </c>
      <c r="D51" s="2">
        <v>96</v>
      </c>
      <c r="E51" s="2" t="s">
        <v>519</v>
      </c>
      <c r="F51" s="2" t="s">
        <v>523</v>
      </c>
      <c r="G51" s="2">
        <v>9</v>
      </c>
      <c r="H51" s="2" t="s">
        <v>526</v>
      </c>
      <c r="I51" s="2">
        <v>132.96</v>
      </c>
    </row>
    <row r="52" spans="1:9" x14ac:dyDescent="0.3">
      <c r="A52" s="2" t="s">
        <v>59</v>
      </c>
      <c r="B52" s="2" t="s">
        <v>509</v>
      </c>
      <c r="C52" s="2">
        <v>342</v>
      </c>
      <c r="D52" s="2">
        <v>73</v>
      </c>
      <c r="E52" s="2" t="s">
        <v>517</v>
      </c>
      <c r="F52" s="2" t="s">
        <v>521</v>
      </c>
      <c r="G52" s="2">
        <v>5</v>
      </c>
      <c r="H52" s="2" t="s">
        <v>524</v>
      </c>
      <c r="I52" s="2">
        <v>56.11</v>
      </c>
    </row>
    <row r="53" spans="1:9" x14ac:dyDescent="0.3">
      <c r="A53" s="2" t="s">
        <v>60</v>
      </c>
      <c r="B53" s="2" t="s">
        <v>509</v>
      </c>
      <c r="C53" s="2">
        <v>56</v>
      </c>
      <c r="D53" s="2">
        <v>44</v>
      </c>
      <c r="E53" s="2" t="s">
        <v>519</v>
      </c>
      <c r="F53" s="2" t="s">
        <v>523</v>
      </c>
      <c r="G53" s="2">
        <v>7</v>
      </c>
      <c r="H53" s="2" t="s">
        <v>527</v>
      </c>
      <c r="I53" s="2">
        <v>87.04</v>
      </c>
    </row>
    <row r="54" spans="1:9" x14ac:dyDescent="0.3">
      <c r="A54" s="2" t="s">
        <v>61</v>
      </c>
      <c r="B54" s="2" t="s">
        <v>515</v>
      </c>
      <c r="C54" s="2">
        <v>38</v>
      </c>
      <c r="D54" s="2">
        <v>35</v>
      </c>
      <c r="E54" s="2" t="s">
        <v>518</v>
      </c>
      <c r="F54" s="2" t="s">
        <v>522</v>
      </c>
      <c r="G54" s="2">
        <v>7</v>
      </c>
      <c r="H54" s="2" t="s">
        <v>528</v>
      </c>
      <c r="I54" s="2">
        <v>31.88</v>
      </c>
    </row>
    <row r="55" spans="1:9" x14ac:dyDescent="0.3">
      <c r="A55" s="2" t="s">
        <v>62</v>
      </c>
      <c r="B55" s="2" t="s">
        <v>510</v>
      </c>
      <c r="C55" s="2">
        <v>115</v>
      </c>
      <c r="D55" s="2">
        <v>81</v>
      </c>
      <c r="E55" s="2" t="s">
        <v>517</v>
      </c>
      <c r="F55" s="2" t="s">
        <v>521</v>
      </c>
      <c r="G55" s="2">
        <v>4</v>
      </c>
      <c r="H55" s="2" t="s">
        <v>525</v>
      </c>
      <c r="I55" s="2">
        <v>31.74</v>
      </c>
    </row>
    <row r="56" spans="1:9" x14ac:dyDescent="0.3">
      <c r="A56" s="2" t="s">
        <v>63</v>
      </c>
      <c r="B56" s="2" t="s">
        <v>509</v>
      </c>
      <c r="C56" s="2">
        <v>480</v>
      </c>
      <c r="D56" s="2">
        <v>91</v>
      </c>
      <c r="E56" s="2" t="s">
        <v>517</v>
      </c>
      <c r="F56" s="2" t="s">
        <v>521</v>
      </c>
      <c r="G56" s="2">
        <v>19</v>
      </c>
      <c r="H56" s="2" t="s">
        <v>528</v>
      </c>
      <c r="I56" s="2">
        <v>79.510000000000005</v>
      </c>
    </row>
    <row r="57" spans="1:9" x14ac:dyDescent="0.3">
      <c r="A57" s="2" t="s">
        <v>64</v>
      </c>
      <c r="B57" s="2" t="s">
        <v>511</v>
      </c>
      <c r="C57" s="2">
        <v>327</v>
      </c>
      <c r="D57" s="2">
        <v>97</v>
      </c>
      <c r="E57" s="2" t="s">
        <v>517</v>
      </c>
      <c r="F57" s="2" t="s">
        <v>521</v>
      </c>
      <c r="G57" s="2">
        <v>7</v>
      </c>
      <c r="H57" s="2" t="s">
        <v>528</v>
      </c>
      <c r="I57" s="2">
        <v>7.41</v>
      </c>
    </row>
    <row r="58" spans="1:9" x14ac:dyDescent="0.3">
      <c r="A58" s="2" t="s">
        <v>65</v>
      </c>
      <c r="B58" s="2" t="s">
        <v>509</v>
      </c>
      <c r="C58" s="2">
        <v>119</v>
      </c>
      <c r="D58" s="2">
        <v>96</v>
      </c>
      <c r="E58" s="2" t="s">
        <v>517</v>
      </c>
      <c r="F58" s="2" t="s">
        <v>521</v>
      </c>
      <c r="G58" s="2">
        <v>12</v>
      </c>
      <c r="H58" s="2" t="s">
        <v>528</v>
      </c>
      <c r="I58" s="2">
        <v>28.11</v>
      </c>
    </row>
    <row r="59" spans="1:9" x14ac:dyDescent="0.3">
      <c r="A59" s="2" t="s">
        <v>66</v>
      </c>
      <c r="B59" s="2" t="s">
        <v>509</v>
      </c>
      <c r="C59" s="2">
        <v>444</v>
      </c>
      <c r="D59" s="2">
        <v>21</v>
      </c>
      <c r="E59" s="2" t="s">
        <v>518</v>
      </c>
      <c r="F59" s="2" t="s">
        <v>522</v>
      </c>
      <c r="G59" s="2">
        <v>19</v>
      </c>
      <c r="H59" s="2" t="s">
        <v>527</v>
      </c>
      <c r="I59" s="2">
        <v>124.11</v>
      </c>
    </row>
    <row r="60" spans="1:9" x14ac:dyDescent="0.3">
      <c r="A60" s="2" t="s">
        <v>67</v>
      </c>
      <c r="B60" s="2" t="s">
        <v>509</v>
      </c>
      <c r="C60" s="2">
        <v>472</v>
      </c>
      <c r="D60" s="2">
        <v>27</v>
      </c>
      <c r="E60" s="2" t="s">
        <v>517</v>
      </c>
      <c r="F60" s="2" t="s">
        <v>521</v>
      </c>
      <c r="G60" s="2">
        <v>7</v>
      </c>
      <c r="H60" s="2" t="s">
        <v>528</v>
      </c>
      <c r="I60" s="2">
        <v>101.98</v>
      </c>
    </row>
    <row r="61" spans="1:9" x14ac:dyDescent="0.3">
      <c r="A61" s="2" t="s">
        <v>68</v>
      </c>
      <c r="B61" s="2" t="s">
        <v>509</v>
      </c>
      <c r="C61" s="2">
        <v>219</v>
      </c>
      <c r="D61" s="2">
        <v>41</v>
      </c>
      <c r="E61" s="2" t="s">
        <v>517</v>
      </c>
      <c r="F61" s="2" t="s">
        <v>521</v>
      </c>
      <c r="G61" s="2">
        <v>13</v>
      </c>
      <c r="H61" s="2" t="s">
        <v>524</v>
      </c>
      <c r="I61" s="2">
        <v>165.74</v>
      </c>
    </row>
    <row r="62" spans="1:9" x14ac:dyDescent="0.3">
      <c r="A62" s="2" t="s">
        <v>69</v>
      </c>
      <c r="B62" s="2" t="s">
        <v>510</v>
      </c>
      <c r="C62" s="2">
        <v>192</v>
      </c>
      <c r="D62" s="2">
        <v>73</v>
      </c>
      <c r="E62" s="2" t="s">
        <v>519</v>
      </c>
      <c r="F62" s="2" t="s">
        <v>523</v>
      </c>
      <c r="G62" s="2">
        <v>21</v>
      </c>
      <c r="H62" s="2" t="s">
        <v>528</v>
      </c>
      <c r="I62" s="2">
        <v>87.57</v>
      </c>
    </row>
    <row r="63" spans="1:9" x14ac:dyDescent="0.3">
      <c r="A63" s="2" t="s">
        <v>70</v>
      </c>
      <c r="B63" s="2" t="s">
        <v>510</v>
      </c>
      <c r="C63" s="2">
        <v>334</v>
      </c>
      <c r="D63" s="2">
        <v>76</v>
      </c>
      <c r="E63" s="2" t="s">
        <v>516</v>
      </c>
      <c r="F63" s="2" t="s">
        <v>520</v>
      </c>
      <c r="G63" s="2">
        <v>9</v>
      </c>
      <c r="H63" s="2" t="s">
        <v>525</v>
      </c>
      <c r="I63" s="2">
        <v>33.200000000000003</v>
      </c>
    </row>
    <row r="64" spans="1:9" x14ac:dyDescent="0.3">
      <c r="A64" s="2" t="s">
        <v>71</v>
      </c>
      <c r="B64" s="2" t="s">
        <v>515</v>
      </c>
      <c r="C64" s="2">
        <v>172</v>
      </c>
      <c r="D64" s="2">
        <v>74</v>
      </c>
      <c r="E64" s="2" t="s">
        <v>519</v>
      </c>
      <c r="F64" s="2" t="s">
        <v>523</v>
      </c>
      <c r="G64" s="2">
        <v>17</v>
      </c>
      <c r="H64" s="2" t="s">
        <v>527</v>
      </c>
      <c r="I64" s="2">
        <v>75.89</v>
      </c>
    </row>
    <row r="65" spans="1:9" x14ac:dyDescent="0.3">
      <c r="A65" s="2" t="s">
        <v>72</v>
      </c>
      <c r="B65" s="2" t="s">
        <v>515</v>
      </c>
      <c r="C65" s="2">
        <v>237</v>
      </c>
      <c r="D65" s="2">
        <v>51</v>
      </c>
      <c r="E65" s="2" t="s">
        <v>517</v>
      </c>
      <c r="F65" s="2" t="s">
        <v>521</v>
      </c>
      <c r="G65" s="2">
        <v>5</v>
      </c>
      <c r="H65" s="2" t="s">
        <v>527</v>
      </c>
      <c r="I65" s="2">
        <v>155.84</v>
      </c>
    </row>
    <row r="66" spans="1:9" x14ac:dyDescent="0.3">
      <c r="A66" s="2" t="s">
        <v>73</v>
      </c>
      <c r="B66" s="2" t="s">
        <v>511</v>
      </c>
      <c r="C66" s="2">
        <v>284</v>
      </c>
      <c r="D66" s="2">
        <v>92</v>
      </c>
      <c r="E66" s="2" t="s">
        <v>517</v>
      </c>
      <c r="F66" s="2" t="s">
        <v>521</v>
      </c>
      <c r="G66" s="2">
        <v>21</v>
      </c>
      <c r="H66" s="2" t="s">
        <v>524</v>
      </c>
      <c r="I66" s="2">
        <v>175.11</v>
      </c>
    </row>
    <row r="67" spans="1:9" x14ac:dyDescent="0.3">
      <c r="A67" s="2" t="s">
        <v>74</v>
      </c>
      <c r="B67" s="2" t="s">
        <v>512</v>
      </c>
      <c r="C67" s="2">
        <v>320</v>
      </c>
      <c r="D67" s="2">
        <v>63</v>
      </c>
      <c r="E67" s="2" t="s">
        <v>519</v>
      </c>
      <c r="F67" s="2" t="s">
        <v>523</v>
      </c>
      <c r="G67" s="2">
        <v>5</v>
      </c>
      <c r="H67" s="2" t="s">
        <v>528</v>
      </c>
      <c r="I67" s="2">
        <v>15.35</v>
      </c>
    </row>
    <row r="68" spans="1:9" x14ac:dyDescent="0.3">
      <c r="A68" s="2" t="s">
        <v>75</v>
      </c>
      <c r="B68" s="2" t="s">
        <v>512</v>
      </c>
      <c r="C68" s="2">
        <v>247</v>
      </c>
      <c r="D68" s="2">
        <v>77</v>
      </c>
      <c r="E68" s="2" t="s">
        <v>516</v>
      </c>
      <c r="F68" s="2" t="s">
        <v>520</v>
      </c>
      <c r="G68" s="2">
        <v>6</v>
      </c>
      <c r="H68" s="2" t="s">
        <v>526</v>
      </c>
      <c r="I68" s="2">
        <v>181.66</v>
      </c>
    </row>
    <row r="69" spans="1:9" x14ac:dyDescent="0.3">
      <c r="A69" s="2" t="s">
        <v>76</v>
      </c>
      <c r="B69" s="2" t="s">
        <v>510</v>
      </c>
      <c r="C69" s="2">
        <v>102</v>
      </c>
      <c r="D69" s="2">
        <v>64</v>
      </c>
      <c r="E69" s="2" t="s">
        <v>517</v>
      </c>
      <c r="F69" s="2" t="s">
        <v>521</v>
      </c>
      <c r="G69" s="2">
        <v>16</v>
      </c>
      <c r="H69" s="2" t="s">
        <v>527</v>
      </c>
      <c r="I69" s="2">
        <v>41.27</v>
      </c>
    </row>
    <row r="70" spans="1:9" x14ac:dyDescent="0.3">
      <c r="A70" s="2" t="s">
        <v>77</v>
      </c>
      <c r="B70" s="2" t="s">
        <v>514</v>
      </c>
      <c r="C70" s="2">
        <v>437</v>
      </c>
      <c r="D70" s="2">
        <v>89</v>
      </c>
      <c r="E70" s="2" t="s">
        <v>518</v>
      </c>
      <c r="F70" s="2" t="s">
        <v>522</v>
      </c>
      <c r="G70" s="2">
        <v>18</v>
      </c>
      <c r="H70" s="2" t="s">
        <v>525</v>
      </c>
      <c r="I70" s="2">
        <v>76.069999999999993</v>
      </c>
    </row>
    <row r="71" spans="1:9" x14ac:dyDescent="0.3">
      <c r="A71" s="2" t="s">
        <v>78</v>
      </c>
      <c r="B71" s="2" t="s">
        <v>515</v>
      </c>
      <c r="C71" s="2">
        <v>336</v>
      </c>
      <c r="D71" s="2">
        <v>25</v>
      </c>
      <c r="E71" s="2" t="s">
        <v>517</v>
      </c>
      <c r="F71" s="2" t="s">
        <v>521</v>
      </c>
      <c r="G71" s="2">
        <v>11</v>
      </c>
      <c r="H71" s="2" t="s">
        <v>526</v>
      </c>
      <c r="I71" s="2">
        <v>177.48</v>
      </c>
    </row>
    <row r="72" spans="1:9" x14ac:dyDescent="0.3">
      <c r="A72" s="2" t="s">
        <v>79</v>
      </c>
      <c r="B72" s="2" t="s">
        <v>514</v>
      </c>
      <c r="C72" s="2">
        <v>406</v>
      </c>
      <c r="D72" s="2">
        <v>57</v>
      </c>
      <c r="E72" s="2" t="s">
        <v>518</v>
      </c>
      <c r="F72" s="2" t="s">
        <v>522</v>
      </c>
      <c r="G72" s="2">
        <v>15</v>
      </c>
      <c r="H72" s="2" t="s">
        <v>527</v>
      </c>
      <c r="I72" s="2">
        <v>119.65</v>
      </c>
    </row>
    <row r="73" spans="1:9" x14ac:dyDescent="0.3">
      <c r="A73" s="2" t="s">
        <v>80</v>
      </c>
      <c r="B73" s="2" t="s">
        <v>511</v>
      </c>
      <c r="C73" s="2">
        <v>214</v>
      </c>
      <c r="D73" s="2">
        <v>91</v>
      </c>
      <c r="E73" s="2" t="s">
        <v>519</v>
      </c>
      <c r="F73" s="2" t="s">
        <v>523</v>
      </c>
      <c r="G73" s="2">
        <v>9</v>
      </c>
      <c r="H73" s="2" t="s">
        <v>528</v>
      </c>
      <c r="I73" s="2">
        <v>95.8</v>
      </c>
    </row>
    <row r="74" spans="1:9" x14ac:dyDescent="0.3">
      <c r="A74" s="2" t="s">
        <v>81</v>
      </c>
      <c r="B74" s="2" t="s">
        <v>514</v>
      </c>
      <c r="C74" s="2">
        <v>108</v>
      </c>
      <c r="D74" s="2">
        <v>56</v>
      </c>
      <c r="E74" s="2" t="s">
        <v>519</v>
      </c>
      <c r="F74" s="2" t="s">
        <v>523</v>
      </c>
      <c r="G74" s="2">
        <v>18</v>
      </c>
      <c r="H74" s="2" t="s">
        <v>524</v>
      </c>
      <c r="I74" s="2">
        <v>130.58000000000001</v>
      </c>
    </row>
    <row r="75" spans="1:9" x14ac:dyDescent="0.3">
      <c r="A75" s="2" t="s">
        <v>82</v>
      </c>
      <c r="B75" s="2" t="s">
        <v>509</v>
      </c>
      <c r="C75" s="2">
        <v>48</v>
      </c>
      <c r="D75" s="2">
        <v>84</v>
      </c>
      <c r="E75" s="2" t="s">
        <v>519</v>
      </c>
      <c r="F75" s="2" t="s">
        <v>523</v>
      </c>
      <c r="G75" s="2">
        <v>18</v>
      </c>
      <c r="H75" s="2" t="s">
        <v>525</v>
      </c>
      <c r="I75" s="2">
        <v>93.7</v>
      </c>
    </row>
    <row r="76" spans="1:9" x14ac:dyDescent="0.3">
      <c r="A76" s="2" t="s">
        <v>83</v>
      </c>
      <c r="B76" s="2" t="s">
        <v>513</v>
      </c>
      <c r="C76" s="2">
        <v>182</v>
      </c>
      <c r="D76" s="2">
        <v>77</v>
      </c>
      <c r="E76" s="2" t="s">
        <v>517</v>
      </c>
      <c r="F76" s="2" t="s">
        <v>521</v>
      </c>
      <c r="G76" s="2">
        <v>6</v>
      </c>
      <c r="H76" s="2" t="s">
        <v>527</v>
      </c>
      <c r="I76" s="2">
        <v>61.7</v>
      </c>
    </row>
    <row r="77" spans="1:9" x14ac:dyDescent="0.3">
      <c r="A77" s="2" t="s">
        <v>84</v>
      </c>
      <c r="B77" s="2" t="s">
        <v>513</v>
      </c>
      <c r="C77" s="2">
        <v>114</v>
      </c>
      <c r="D77" s="2">
        <v>49</v>
      </c>
      <c r="E77" s="2" t="s">
        <v>517</v>
      </c>
      <c r="F77" s="2" t="s">
        <v>521</v>
      </c>
      <c r="G77" s="2">
        <v>5</v>
      </c>
      <c r="H77" s="2" t="s">
        <v>525</v>
      </c>
      <c r="I77" s="2">
        <v>121.15</v>
      </c>
    </row>
    <row r="78" spans="1:9" x14ac:dyDescent="0.3">
      <c r="A78" s="2" t="s">
        <v>85</v>
      </c>
      <c r="B78" s="2" t="s">
        <v>512</v>
      </c>
      <c r="C78" s="2">
        <v>432</v>
      </c>
      <c r="D78" s="2">
        <v>62</v>
      </c>
      <c r="E78" s="2" t="s">
        <v>518</v>
      </c>
      <c r="F78" s="2" t="s">
        <v>522</v>
      </c>
      <c r="G78" s="2">
        <v>13</v>
      </c>
      <c r="H78" s="2" t="s">
        <v>528</v>
      </c>
      <c r="I78" s="2">
        <v>75.58</v>
      </c>
    </row>
    <row r="79" spans="1:9" x14ac:dyDescent="0.3">
      <c r="A79" s="2" t="s">
        <v>86</v>
      </c>
      <c r="B79" s="2" t="s">
        <v>515</v>
      </c>
      <c r="C79" s="2">
        <v>412</v>
      </c>
      <c r="D79" s="2">
        <v>79</v>
      </c>
      <c r="E79" s="2" t="s">
        <v>517</v>
      </c>
      <c r="F79" s="2" t="s">
        <v>521</v>
      </c>
      <c r="G79" s="2">
        <v>6</v>
      </c>
      <c r="H79" s="2" t="s">
        <v>528</v>
      </c>
      <c r="I79" s="2">
        <v>166.89</v>
      </c>
    </row>
    <row r="80" spans="1:9" x14ac:dyDescent="0.3">
      <c r="A80" s="2" t="s">
        <v>87</v>
      </c>
      <c r="B80" s="2" t="s">
        <v>514</v>
      </c>
      <c r="C80" s="2">
        <v>47</v>
      </c>
      <c r="D80" s="2">
        <v>52</v>
      </c>
      <c r="E80" s="2" t="s">
        <v>517</v>
      </c>
      <c r="F80" s="2" t="s">
        <v>521</v>
      </c>
      <c r="G80" s="2">
        <v>19</v>
      </c>
      <c r="H80" s="2" t="s">
        <v>528</v>
      </c>
      <c r="I80" s="2">
        <v>153.72999999999999</v>
      </c>
    </row>
    <row r="81" spans="1:9" x14ac:dyDescent="0.3">
      <c r="A81" s="2" t="s">
        <v>88</v>
      </c>
      <c r="B81" s="2" t="s">
        <v>513</v>
      </c>
      <c r="C81" s="2">
        <v>354</v>
      </c>
      <c r="D81" s="2">
        <v>59</v>
      </c>
      <c r="E81" s="2" t="s">
        <v>518</v>
      </c>
      <c r="F81" s="2" t="s">
        <v>522</v>
      </c>
      <c r="G81" s="2">
        <v>6</v>
      </c>
      <c r="H81" s="2" t="s">
        <v>525</v>
      </c>
      <c r="I81" s="2">
        <v>179.44</v>
      </c>
    </row>
    <row r="82" spans="1:9" x14ac:dyDescent="0.3">
      <c r="A82" s="2" t="s">
        <v>89</v>
      </c>
      <c r="B82" s="2" t="s">
        <v>509</v>
      </c>
      <c r="C82" s="2">
        <v>197</v>
      </c>
      <c r="D82" s="2">
        <v>67</v>
      </c>
      <c r="E82" s="2" t="s">
        <v>517</v>
      </c>
      <c r="F82" s="2" t="s">
        <v>521</v>
      </c>
      <c r="G82" s="2">
        <v>19</v>
      </c>
      <c r="H82" s="2" t="s">
        <v>525</v>
      </c>
      <c r="I82" s="2">
        <v>51.97</v>
      </c>
    </row>
    <row r="83" spans="1:9" x14ac:dyDescent="0.3">
      <c r="A83" s="2" t="s">
        <v>90</v>
      </c>
      <c r="B83" s="2" t="s">
        <v>509</v>
      </c>
      <c r="C83" s="2">
        <v>472</v>
      </c>
      <c r="D83" s="2">
        <v>36</v>
      </c>
      <c r="E83" s="2" t="s">
        <v>519</v>
      </c>
      <c r="F83" s="2" t="s">
        <v>523</v>
      </c>
      <c r="G83" s="2">
        <v>18</v>
      </c>
      <c r="H83" s="2" t="s">
        <v>526</v>
      </c>
      <c r="I83" s="2">
        <v>30.38</v>
      </c>
    </row>
    <row r="84" spans="1:9" x14ac:dyDescent="0.3">
      <c r="A84" s="2" t="s">
        <v>91</v>
      </c>
      <c r="B84" s="2" t="s">
        <v>515</v>
      </c>
      <c r="C84" s="2">
        <v>346</v>
      </c>
      <c r="D84" s="2">
        <v>97</v>
      </c>
      <c r="E84" s="2" t="s">
        <v>518</v>
      </c>
      <c r="F84" s="2" t="s">
        <v>522</v>
      </c>
      <c r="G84" s="2">
        <v>11</v>
      </c>
      <c r="H84" s="2" t="s">
        <v>525</v>
      </c>
      <c r="I84" s="2">
        <v>189.29</v>
      </c>
    </row>
    <row r="85" spans="1:9" x14ac:dyDescent="0.3">
      <c r="A85" s="2" t="s">
        <v>92</v>
      </c>
      <c r="B85" s="2" t="s">
        <v>509</v>
      </c>
      <c r="C85" s="2">
        <v>280</v>
      </c>
      <c r="D85" s="2">
        <v>77</v>
      </c>
      <c r="E85" s="2" t="s">
        <v>516</v>
      </c>
      <c r="F85" s="2" t="s">
        <v>520</v>
      </c>
      <c r="G85" s="2">
        <v>11</v>
      </c>
      <c r="H85" s="2" t="s">
        <v>524</v>
      </c>
      <c r="I85" s="2">
        <v>143.97999999999999</v>
      </c>
    </row>
    <row r="86" spans="1:9" x14ac:dyDescent="0.3">
      <c r="A86" s="2" t="s">
        <v>93</v>
      </c>
      <c r="B86" s="2" t="s">
        <v>513</v>
      </c>
      <c r="C86" s="2">
        <v>89</v>
      </c>
      <c r="D86" s="2">
        <v>66</v>
      </c>
      <c r="E86" s="2" t="s">
        <v>519</v>
      </c>
      <c r="F86" s="2" t="s">
        <v>523</v>
      </c>
      <c r="G86" s="2">
        <v>21</v>
      </c>
      <c r="H86" s="2" t="s">
        <v>525</v>
      </c>
      <c r="I86" s="2">
        <v>128.13999999999999</v>
      </c>
    </row>
    <row r="87" spans="1:9" x14ac:dyDescent="0.3">
      <c r="A87" s="2" t="s">
        <v>94</v>
      </c>
      <c r="B87" s="2" t="s">
        <v>513</v>
      </c>
      <c r="C87" s="2">
        <v>196</v>
      </c>
      <c r="D87" s="2">
        <v>33</v>
      </c>
      <c r="E87" s="2" t="s">
        <v>518</v>
      </c>
      <c r="F87" s="2" t="s">
        <v>522</v>
      </c>
      <c r="G87" s="2">
        <v>20</v>
      </c>
      <c r="H87" s="2" t="s">
        <v>527</v>
      </c>
      <c r="I87" s="2">
        <v>154.85</v>
      </c>
    </row>
    <row r="88" spans="1:9" x14ac:dyDescent="0.3">
      <c r="A88" s="2" t="s">
        <v>95</v>
      </c>
      <c r="B88" s="2" t="s">
        <v>510</v>
      </c>
      <c r="C88" s="2">
        <v>384</v>
      </c>
      <c r="D88" s="2">
        <v>28</v>
      </c>
      <c r="E88" s="2" t="s">
        <v>518</v>
      </c>
      <c r="F88" s="2" t="s">
        <v>522</v>
      </c>
      <c r="G88" s="2">
        <v>8</v>
      </c>
      <c r="H88" s="2" t="s">
        <v>526</v>
      </c>
      <c r="I88" s="2">
        <v>90.79</v>
      </c>
    </row>
    <row r="89" spans="1:9" x14ac:dyDescent="0.3">
      <c r="A89" s="2" t="s">
        <v>96</v>
      </c>
      <c r="B89" s="2" t="s">
        <v>513</v>
      </c>
      <c r="C89" s="2">
        <v>441</v>
      </c>
      <c r="D89" s="2">
        <v>36</v>
      </c>
      <c r="E89" s="2" t="s">
        <v>519</v>
      </c>
      <c r="F89" s="2" t="s">
        <v>523</v>
      </c>
      <c r="G89" s="2">
        <v>10</v>
      </c>
      <c r="H89" s="2" t="s">
        <v>525</v>
      </c>
      <c r="I89" s="2">
        <v>58.59</v>
      </c>
    </row>
    <row r="90" spans="1:9" x14ac:dyDescent="0.3">
      <c r="A90" s="2" t="s">
        <v>97</v>
      </c>
      <c r="B90" s="2" t="s">
        <v>514</v>
      </c>
      <c r="C90" s="2">
        <v>488</v>
      </c>
      <c r="D90" s="2">
        <v>27</v>
      </c>
      <c r="E90" s="2" t="s">
        <v>517</v>
      </c>
      <c r="F90" s="2" t="s">
        <v>521</v>
      </c>
      <c r="G90" s="2">
        <v>21</v>
      </c>
      <c r="H90" s="2" t="s">
        <v>524</v>
      </c>
      <c r="I90" s="2">
        <v>105.25</v>
      </c>
    </row>
    <row r="91" spans="1:9" x14ac:dyDescent="0.3">
      <c r="A91" s="2" t="s">
        <v>98</v>
      </c>
      <c r="B91" s="2" t="s">
        <v>510</v>
      </c>
      <c r="C91" s="2">
        <v>313</v>
      </c>
      <c r="D91" s="2">
        <v>35</v>
      </c>
      <c r="E91" s="2" t="s">
        <v>517</v>
      </c>
      <c r="F91" s="2" t="s">
        <v>521</v>
      </c>
      <c r="G91" s="2">
        <v>6</v>
      </c>
      <c r="H91" s="2" t="s">
        <v>524</v>
      </c>
      <c r="I91" s="2">
        <v>190.59</v>
      </c>
    </row>
    <row r="92" spans="1:9" x14ac:dyDescent="0.3">
      <c r="A92" s="2" t="s">
        <v>99</v>
      </c>
      <c r="B92" s="2" t="s">
        <v>512</v>
      </c>
      <c r="C92" s="2">
        <v>488</v>
      </c>
      <c r="D92" s="2">
        <v>77</v>
      </c>
      <c r="E92" s="2" t="s">
        <v>516</v>
      </c>
      <c r="F92" s="2" t="s">
        <v>520</v>
      </c>
      <c r="G92" s="2">
        <v>6</v>
      </c>
      <c r="H92" s="2" t="s">
        <v>526</v>
      </c>
      <c r="I92" s="2">
        <v>36.92</v>
      </c>
    </row>
    <row r="93" spans="1:9" x14ac:dyDescent="0.3">
      <c r="A93" s="2" t="s">
        <v>100</v>
      </c>
      <c r="B93" s="2" t="s">
        <v>510</v>
      </c>
      <c r="C93" s="2">
        <v>317</v>
      </c>
      <c r="D93" s="2">
        <v>91</v>
      </c>
      <c r="E93" s="2" t="s">
        <v>519</v>
      </c>
      <c r="F93" s="2" t="s">
        <v>523</v>
      </c>
      <c r="G93" s="2">
        <v>12</v>
      </c>
      <c r="H93" s="2" t="s">
        <v>525</v>
      </c>
      <c r="I93" s="2">
        <v>103.62</v>
      </c>
    </row>
    <row r="94" spans="1:9" x14ac:dyDescent="0.3">
      <c r="A94" s="2" t="s">
        <v>101</v>
      </c>
      <c r="B94" s="2" t="s">
        <v>513</v>
      </c>
      <c r="C94" s="2">
        <v>54</v>
      </c>
      <c r="D94" s="2">
        <v>91</v>
      </c>
      <c r="E94" s="2" t="s">
        <v>519</v>
      </c>
      <c r="F94" s="2" t="s">
        <v>523</v>
      </c>
      <c r="G94" s="2">
        <v>16</v>
      </c>
      <c r="H94" s="2" t="s">
        <v>525</v>
      </c>
      <c r="I94" s="2">
        <v>180.56</v>
      </c>
    </row>
    <row r="95" spans="1:9" x14ac:dyDescent="0.3">
      <c r="A95" s="2" t="s">
        <v>102</v>
      </c>
      <c r="B95" s="2" t="s">
        <v>512</v>
      </c>
      <c r="C95" s="2">
        <v>73</v>
      </c>
      <c r="D95" s="2">
        <v>24</v>
      </c>
      <c r="E95" s="2" t="s">
        <v>516</v>
      </c>
      <c r="F95" s="2" t="s">
        <v>520</v>
      </c>
      <c r="G95" s="2">
        <v>19</v>
      </c>
      <c r="H95" s="2" t="s">
        <v>524</v>
      </c>
      <c r="I95" s="2">
        <v>140.12</v>
      </c>
    </row>
    <row r="96" spans="1:9" x14ac:dyDescent="0.3">
      <c r="A96" s="2" t="s">
        <v>103</v>
      </c>
      <c r="B96" s="2" t="s">
        <v>514</v>
      </c>
      <c r="C96" s="2">
        <v>64</v>
      </c>
      <c r="D96" s="2">
        <v>36</v>
      </c>
      <c r="E96" s="2" t="s">
        <v>517</v>
      </c>
      <c r="F96" s="2" t="s">
        <v>521</v>
      </c>
      <c r="G96" s="2">
        <v>3</v>
      </c>
      <c r="H96" s="2" t="s">
        <v>528</v>
      </c>
      <c r="I96" s="2">
        <v>24.54</v>
      </c>
    </row>
    <row r="97" spans="1:9" x14ac:dyDescent="0.3">
      <c r="A97" s="2" t="s">
        <v>104</v>
      </c>
      <c r="B97" s="2" t="s">
        <v>513</v>
      </c>
      <c r="C97" s="2">
        <v>261</v>
      </c>
      <c r="D97" s="2">
        <v>89</v>
      </c>
      <c r="E97" s="2" t="s">
        <v>517</v>
      </c>
      <c r="F97" s="2" t="s">
        <v>521</v>
      </c>
      <c r="G97" s="2">
        <v>12</v>
      </c>
      <c r="H97" s="2" t="s">
        <v>526</v>
      </c>
      <c r="I97" s="2">
        <v>172.77</v>
      </c>
    </row>
    <row r="98" spans="1:9" x14ac:dyDescent="0.3">
      <c r="A98" s="2" t="s">
        <v>105</v>
      </c>
      <c r="B98" s="2" t="s">
        <v>515</v>
      </c>
      <c r="C98" s="2">
        <v>11</v>
      </c>
      <c r="D98" s="2">
        <v>22</v>
      </c>
      <c r="E98" s="2" t="s">
        <v>519</v>
      </c>
      <c r="F98" s="2" t="s">
        <v>523</v>
      </c>
      <c r="G98" s="2">
        <v>18</v>
      </c>
      <c r="H98" s="2" t="s">
        <v>525</v>
      </c>
      <c r="I98" s="2">
        <v>149.94999999999999</v>
      </c>
    </row>
    <row r="99" spans="1:9" x14ac:dyDescent="0.3">
      <c r="A99" s="2" t="s">
        <v>106</v>
      </c>
      <c r="B99" s="2" t="s">
        <v>514</v>
      </c>
      <c r="C99" s="2">
        <v>321</v>
      </c>
      <c r="D99" s="2">
        <v>61</v>
      </c>
      <c r="E99" s="2" t="s">
        <v>517</v>
      </c>
      <c r="F99" s="2" t="s">
        <v>521</v>
      </c>
      <c r="G99" s="2">
        <v>13</v>
      </c>
      <c r="H99" s="2" t="s">
        <v>526</v>
      </c>
      <c r="I99" s="2">
        <v>154.34</v>
      </c>
    </row>
    <row r="100" spans="1:9" x14ac:dyDescent="0.3">
      <c r="A100" s="2" t="s">
        <v>107</v>
      </c>
      <c r="B100" s="2" t="s">
        <v>513</v>
      </c>
      <c r="C100" s="2">
        <v>37</v>
      </c>
      <c r="D100" s="2">
        <v>71</v>
      </c>
      <c r="E100" s="2" t="s">
        <v>518</v>
      </c>
      <c r="F100" s="2" t="s">
        <v>522</v>
      </c>
      <c r="G100" s="2">
        <v>17</v>
      </c>
      <c r="H100" s="2" t="s">
        <v>526</v>
      </c>
      <c r="I100" s="2">
        <v>42.11</v>
      </c>
    </row>
    <row r="101" spans="1:9" x14ac:dyDescent="0.3">
      <c r="A101" s="2" t="s">
        <v>108</v>
      </c>
      <c r="B101" s="2" t="s">
        <v>510</v>
      </c>
      <c r="C101" s="2">
        <v>15</v>
      </c>
      <c r="D101" s="2">
        <v>66</v>
      </c>
      <c r="E101" s="2" t="s">
        <v>516</v>
      </c>
      <c r="F101" s="2" t="s">
        <v>520</v>
      </c>
      <c r="G101" s="2">
        <v>11</v>
      </c>
      <c r="H101" s="2" t="s">
        <v>527</v>
      </c>
      <c r="I101" s="2">
        <v>125.01</v>
      </c>
    </row>
    <row r="102" spans="1:9" x14ac:dyDescent="0.3">
      <c r="A102" s="2" t="s">
        <v>109</v>
      </c>
      <c r="B102" s="2" t="s">
        <v>510</v>
      </c>
      <c r="C102" s="2">
        <v>277</v>
      </c>
      <c r="D102" s="2">
        <v>88</v>
      </c>
      <c r="E102" s="2" t="s">
        <v>519</v>
      </c>
      <c r="F102" s="2" t="s">
        <v>523</v>
      </c>
      <c r="G102" s="2">
        <v>5</v>
      </c>
      <c r="H102" s="2" t="s">
        <v>527</v>
      </c>
      <c r="I102" s="2">
        <v>96.67</v>
      </c>
    </row>
    <row r="103" spans="1:9" x14ac:dyDescent="0.3">
      <c r="A103" s="2" t="s">
        <v>110</v>
      </c>
      <c r="B103" s="2" t="s">
        <v>513</v>
      </c>
      <c r="C103" s="2">
        <v>23</v>
      </c>
      <c r="D103" s="2">
        <v>34</v>
      </c>
      <c r="E103" s="2" t="s">
        <v>516</v>
      </c>
      <c r="F103" s="2" t="s">
        <v>520</v>
      </c>
      <c r="G103" s="2">
        <v>17</v>
      </c>
      <c r="H103" s="2" t="s">
        <v>525</v>
      </c>
      <c r="I103" s="2">
        <v>71.819999999999993</v>
      </c>
    </row>
    <row r="104" spans="1:9" x14ac:dyDescent="0.3">
      <c r="A104" s="2" t="s">
        <v>111</v>
      </c>
      <c r="B104" s="2" t="s">
        <v>513</v>
      </c>
      <c r="C104" s="2">
        <v>43</v>
      </c>
      <c r="D104" s="2">
        <v>77</v>
      </c>
      <c r="E104" s="2" t="s">
        <v>518</v>
      </c>
      <c r="F104" s="2" t="s">
        <v>522</v>
      </c>
      <c r="G104" s="2">
        <v>13</v>
      </c>
      <c r="H104" s="2" t="s">
        <v>528</v>
      </c>
      <c r="I104" s="2">
        <v>153.81</v>
      </c>
    </row>
    <row r="105" spans="1:9" x14ac:dyDescent="0.3">
      <c r="A105" s="2" t="s">
        <v>112</v>
      </c>
      <c r="B105" s="2" t="s">
        <v>509</v>
      </c>
      <c r="C105" s="2">
        <v>246</v>
      </c>
      <c r="D105" s="2">
        <v>67</v>
      </c>
      <c r="E105" s="2" t="s">
        <v>516</v>
      </c>
      <c r="F105" s="2" t="s">
        <v>520</v>
      </c>
      <c r="G105" s="2">
        <v>8</v>
      </c>
      <c r="H105" s="2" t="s">
        <v>527</v>
      </c>
      <c r="I105" s="2">
        <v>170.3</v>
      </c>
    </row>
    <row r="106" spans="1:9" x14ac:dyDescent="0.3">
      <c r="A106" s="2" t="s">
        <v>113</v>
      </c>
      <c r="B106" s="2" t="s">
        <v>512</v>
      </c>
      <c r="C106" s="2">
        <v>493</v>
      </c>
      <c r="D106" s="2">
        <v>54</v>
      </c>
      <c r="E106" s="2" t="s">
        <v>516</v>
      </c>
      <c r="F106" s="2" t="s">
        <v>520</v>
      </c>
      <c r="G106" s="2">
        <v>11</v>
      </c>
      <c r="H106" s="2" t="s">
        <v>525</v>
      </c>
      <c r="I106" s="2">
        <v>191.08</v>
      </c>
    </row>
    <row r="107" spans="1:9" x14ac:dyDescent="0.3">
      <c r="A107" s="2" t="s">
        <v>114</v>
      </c>
      <c r="B107" s="2" t="s">
        <v>513</v>
      </c>
      <c r="C107" s="2">
        <v>82</v>
      </c>
      <c r="D107" s="2">
        <v>68</v>
      </c>
      <c r="E107" s="2" t="s">
        <v>518</v>
      </c>
      <c r="F107" s="2" t="s">
        <v>522</v>
      </c>
      <c r="G107" s="2">
        <v>5</v>
      </c>
      <c r="H107" s="2" t="s">
        <v>527</v>
      </c>
      <c r="I107" s="2">
        <v>101.97</v>
      </c>
    </row>
    <row r="108" spans="1:9" x14ac:dyDescent="0.3">
      <c r="A108" s="2" t="s">
        <v>115</v>
      </c>
      <c r="B108" s="2" t="s">
        <v>512</v>
      </c>
      <c r="C108" s="2">
        <v>125</v>
      </c>
      <c r="D108" s="2">
        <v>48</v>
      </c>
      <c r="E108" s="2" t="s">
        <v>519</v>
      </c>
      <c r="F108" s="2" t="s">
        <v>523</v>
      </c>
      <c r="G108" s="2">
        <v>8</v>
      </c>
      <c r="H108" s="2" t="s">
        <v>526</v>
      </c>
      <c r="I108" s="2">
        <v>117.32</v>
      </c>
    </row>
    <row r="109" spans="1:9" x14ac:dyDescent="0.3">
      <c r="A109" s="2" t="s">
        <v>116</v>
      </c>
      <c r="B109" s="2" t="s">
        <v>510</v>
      </c>
      <c r="C109" s="2">
        <v>68</v>
      </c>
      <c r="D109" s="2">
        <v>27</v>
      </c>
      <c r="E109" s="2" t="s">
        <v>518</v>
      </c>
      <c r="F109" s="2" t="s">
        <v>522</v>
      </c>
      <c r="G109" s="2">
        <v>13</v>
      </c>
      <c r="H109" s="2" t="s">
        <v>526</v>
      </c>
      <c r="I109" s="2">
        <v>28.95</v>
      </c>
    </row>
    <row r="110" spans="1:9" x14ac:dyDescent="0.3">
      <c r="A110" s="2" t="s">
        <v>117</v>
      </c>
      <c r="B110" s="2" t="s">
        <v>514</v>
      </c>
      <c r="C110" s="2">
        <v>55</v>
      </c>
      <c r="D110" s="2">
        <v>69</v>
      </c>
      <c r="E110" s="2" t="s">
        <v>518</v>
      </c>
      <c r="F110" s="2" t="s">
        <v>522</v>
      </c>
      <c r="G110" s="2">
        <v>17</v>
      </c>
      <c r="H110" s="2" t="s">
        <v>528</v>
      </c>
      <c r="I110" s="2">
        <v>88.55</v>
      </c>
    </row>
    <row r="111" spans="1:9" x14ac:dyDescent="0.3">
      <c r="A111" s="2" t="s">
        <v>118</v>
      </c>
      <c r="B111" s="2" t="s">
        <v>512</v>
      </c>
      <c r="C111" s="2">
        <v>408</v>
      </c>
      <c r="D111" s="2">
        <v>76</v>
      </c>
      <c r="E111" s="2" t="s">
        <v>518</v>
      </c>
      <c r="F111" s="2" t="s">
        <v>522</v>
      </c>
      <c r="G111" s="2">
        <v>15</v>
      </c>
      <c r="H111" s="2" t="s">
        <v>526</v>
      </c>
      <c r="I111" s="2">
        <v>197.58</v>
      </c>
    </row>
    <row r="112" spans="1:9" x14ac:dyDescent="0.3">
      <c r="A112" s="2" t="s">
        <v>119</v>
      </c>
      <c r="B112" s="2" t="s">
        <v>511</v>
      </c>
      <c r="C112" s="2">
        <v>352</v>
      </c>
      <c r="D112" s="2">
        <v>34</v>
      </c>
      <c r="E112" s="2" t="s">
        <v>519</v>
      </c>
      <c r="F112" s="2" t="s">
        <v>523</v>
      </c>
      <c r="G112" s="2">
        <v>21</v>
      </c>
      <c r="H112" s="2" t="s">
        <v>528</v>
      </c>
      <c r="I112" s="2">
        <v>181.7</v>
      </c>
    </row>
    <row r="113" spans="1:9" x14ac:dyDescent="0.3">
      <c r="A113" s="2" t="s">
        <v>120</v>
      </c>
      <c r="B113" s="2" t="s">
        <v>510</v>
      </c>
      <c r="C113" s="2">
        <v>479</v>
      </c>
      <c r="D113" s="2">
        <v>47</v>
      </c>
      <c r="E113" s="2" t="s">
        <v>517</v>
      </c>
      <c r="F113" s="2" t="s">
        <v>521</v>
      </c>
      <c r="G113" s="2">
        <v>17</v>
      </c>
      <c r="H113" s="2" t="s">
        <v>528</v>
      </c>
      <c r="I113" s="2">
        <v>133.54</v>
      </c>
    </row>
    <row r="114" spans="1:9" x14ac:dyDescent="0.3">
      <c r="A114" s="2" t="s">
        <v>121</v>
      </c>
      <c r="B114" s="2" t="s">
        <v>515</v>
      </c>
      <c r="C114" s="2">
        <v>74</v>
      </c>
      <c r="D114" s="2">
        <v>50</v>
      </c>
      <c r="E114" s="2" t="s">
        <v>516</v>
      </c>
      <c r="F114" s="2" t="s">
        <v>520</v>
      </c>
      <c r="G114" s="2">
        <v>14</v>
      </c>
      <c r="H114" s="2" t="s">
        <v>528</v>
      </c>
      <c r="I114" s="2">
        <v>6.57</v>
      </c>
    </row>
    <row r="115" spans="1:9" x14ac:dyDescent="0.3">
      <c r="A115" s="2" t="s">
        <v>122</v>
      </c>
      <c r="B115" s="2" t="s">
        <v>515</v>
      </c>
      <c r="C115" s="2">
        <v>374</v>
      </c>
      <c r="D115" s="2">
        <v>68</v>
      </c>
      <c r="E115" s="2" t="s">
        <v>516</v>
      </c>
      <c r="F115" s="2" t="s">
        <v>520</v>
      </c>
      <c r="G115" s="2">
        <v>3</v>
      </c>
      <c r="H115" s="2" t="s">
        <v>528</v>
      </c>
      <c r="I115" s="2">
        <v>165.44</v>
      </c>
    </row>
    <row r="116" spans="1:9" x14ac:dyDescent="0.3">
      <c r="A116" s="2" t="s">
        <v>123</v>
      </c>
      <c r="B116" s="2" t="s">
        <v>513</v>
      </c>
      <c r="C116" s="2">
        <v>426</v>
      </c>
      <c r="D116" s="2">
        <v>75</v>
      </c>
      <c r="E116" s="2" t="s">
        <v>518</v>
      </c>
      <c r="F116" s="2" t="s">
        <v>522</v>
      </c>
      <c r="G116" s="2">
        <v>11</v>
      </c>
      <c r="H116" s="2" t="s">
        <v>524</v>
      </c>
      <c r="I116" s="2">
        <v>127.55</v>
      </c>
    </row>
    <row r="117" spans="1:9" x14ac:dyDescent="0.3">
      <c r="A117" s="2" t="s">
        <v>124</v>
      </c>
      <c r="B117" s="2" t="s">
        <v>509</v>
      </c>
      <c r="C117" s="2">
        <v>103</v>
      </c>
      <c r="D117" s="2">
        <v>76</v>
      </c>
      <c r="E117" s="2" t="s">
        <v>517</v>
      </c>
      <c r="F117" s="2" t="s">
        <v>521</v>
      </c>
      <c r="G117" s="2">
        <v>7</v>
      </c>
      <c r="H117" s="2" t="s">
        <v>527</v>
      </c>
      <c r="I117" s="2">
        <v>115.04</v>
      </c>
    </row>
    <row r="118" spans="1:9" x14ac:dyDescent="0.3">
      <c r="A118" s="2" t="s">
        <v>125</v>
      </c>
      <c r="B118" s="2" t="s">
        <v>510</v>
      </c>
      <c r="C118" s="2">
        <v>83</v>
      </c>
      <c r="D118" s="2">
        <v>58</v>
      </c>
      <c r="E118" s="2" t="s">
        <v>519</v>
      </c>
      <c r="F118" s="2" t="s">
        <v>523</v>
      </c>
      <c r="G118" s="2">
        <v>6</v>
      </c>
      <c r="H118" s="2" t="s">
        <v>527</v>
      </c>
      <c r="I118" s="2">
        <v>75.91</v>
      </c>
    </row>
    <row r="119" spans="1:9" x14ac:dyDescent="0.3">
      <c r="A119" s="2" t="s">
        <v>126</v>
      </c>
      <c r="B119" s="2" t="s">
        <v>509</v>
      </c>
      <c r="C119" s="2">
        <v>64</v>
      </c>
      <c r="D119" s="2">
        <v>41</v>
      </c>
      <c r="E119" s="2" t="s">
        <v>518</v>
      </c>
      <c r="F119" s="2" t="s">
        <v>522</v>
      </c>
      <c r="G119" s="2">
        <v>14</v>
      </c>
      <c r="H119" s="2" t="s">
        <v>524</v>
      </c>
      <c r="I119" s="2">
        <v>189.01</v>
      </c>
    </row>
    <row r="120" spans="1:9" x14ac:dyDescent="0.3">
      <c r="A120" s="2" t="s">
        <v>127</v>
      </c>
      <c r="B120" s="2" t="s">
        <v>513</v>
      </c>
      <c r="C120" s="2">
        <v>3</v>
      </c>
      <c r="D120" s="2">
        <v>97</v>
      </c>
      <c r="E120" s="2" t="s">
        <v>516</v>
      </c>
      <c r="F120" s="2" t="s">
        <v>520</v>
      </c>
      <c r="G120" s="2">
        <v>8</v>
      </c>
      <c r="H120" s="2" t="s">
        <v>526</v>
      </c>
      <c r="I120" s="2">
        <v>116.13</v>
      </c>
    </row>
    <row r="121" spans="1:9" x14ac:dyDescent="0.3">
      <c r="A121" s="2" t="s">
        <v>128</v>
      </c>
      <c r="B121" s="2" t="s">
        <v>509</v>
      </c>
      <c r="C121" s="2">
        <v>449</v>
      </c>
      <c r="D121" s="2">
        <v>67</v>
      </c>
      <c r="E121" s="2" t="s">
        <v>518</v>
      </c>
      <c r="F121" s="2" t="s">
        <v>522</v>
      </c>
      <c r="G121" s="2">
        <v>19</v>
      </c>
      <c r="H121" s="2" t="s">
        <v>527</v>
      </c>
      <c r="I121" s="2">
        <v>198.55</v>
      </c>
    </row>
    <row r="122" spans="1:9" x14ac:dyDescent="0.3">
      <c r="A122" s="2" t="s">
        <v>129</v>
      </c>
      <c r="B122" s="2" t="s">
        <v>510</v>
      </c>
      <c r="C122" s="2">
        <v>247</v>
      </c>
      <c r="D122" s="2">
        <v>23</v>
      </c>
      <c r="E122" s="2" t="s">
        <v>516</v>
      </c>
      <c r="F122" s="2" t="s">
        <v>520</v>
      </c>
      <c r="G122" s="2">
        <v>10</v>
      </c>
      <c r="H122" s="2" t="s">
        <v>528</v>
      </c>
      <c r="I122" s="2">
        <v>185.85</v>
      </c>
    </row>
    <row r="123" spans="1:9" x14ac:dyDescent="0.3">
      <c r="A123" s="2" t="s">
        <v>130</v>
      </c>
      <c r="B123" s="2" t="s">
        <v>513</v>
      </c>
      <c r="C123" s="2">
        <v>368</v>
      </c>
      <c r="D123" s="2">
        <v>94</v>
      </c>
      <c r="E123" s="2" t="s">
        <v>517</v>
      </c>
      <c r="F123" s="2" t="s">
        <v>521</v>
      </c>
      <c r="G123" s="2">
        <v>14</v>
      </c>
      <c r="H123" s="2" t="s">
        <v>528</v>
      </c>
      <c r="I123" s="2">
        <v>110.9</v>
      </c>
    </row>
    <row r="124" spans="1:9" x14ac:dyDescent="0.3">
      <c r="A124" s="2" t="s">
        <v>131</v>
      </c>
      <c r="B124" s="2" t="s">
        <v>511</v>
      </c>
      <c r="C124" s="2">
        <v>70</v>
      </c>
      <c r="D124" s="2">
        <v>31</v>
      </c>
      <c r="E124" s="2" t="s">
        <v>517</v>
      </c>
      <c r="F124" s="2" t="s">
        <v>521</v>
      </c>
      <c r="G124" s="2">
        <v>16</v>
      </c>
      <c r="H124" s="2" t="s">
        <v>526</v>
      </c>
      <c r="I124" s="2">
        <v>118.56</v>
      </c>
    </row>
    <row r="125" spans="1:9" x14ac:dyDescent="0.3">
      <c r="A125" s="2" t="s">
        <v>132</v>
      </c>
      <c r="B125" s="2" t="s">
        <v>514</v>
      </c>
      <c r="C125" s="2">
        <v>72</v>
      </c>
      <c r="D125" s="2">
        <v>86</v>
      </c>
      <c r="E125" s="2" t="s">
        <v>516</v>
      </c>
      <c r="F125" s="2" t="s">
        <v>520</v>
      </c>
      <c r="G125" s="2">
        <v>18</v>
      </c>
      <c r="H125" s="2" t="s">
        <v>528</v>
      </c>
      <c r="I125" s="2">
        <v>50.02</v>
      </c>
    </row>
    <row r="126" spans="1:9" x14ac:dyDescent="0.3">
      <c r="A126" s="2" t="s">
        <v>133</v>
      </c>
      <c r="B126" s="2" t="s">
        <v>513</v>
      </c>
      <c r="C126" s="2">
        <v>434</v>
      </c>
      <c r="D126" s="2">
        <v>96</v>
      </c>
      <c r="E126" s="2" t="s">
        <v>519</v>
      </c>
      <c r="F126" s="2" t="s">
        <v>523</v>
      </c>
      <c r="G126" s="2">
        <v>12</v>
      </c>
      <c r="H126" s="2" t="s">
        <v>526</v>
      </c>
      <c r="I126" s="2">
        <v>35.799999999999997</v>
      </c>
    </row>
    <row r="127" spans="1:9" x14ac:dyDescent="0.3">
      <c r="A127" s="2" t="s">
        <v>134</v>
      </c>
      <c r="B127" s="2" t="s">
        <v>510</v>
      </c>
      <c r="C127" s="2">
        <v>467</v>
      </c>
      <c r="D127" s="2">
        <v>70</v>
      </c>
      <c r="E127" s="2" t="s">
        <v>517</v>
      </c>
      <c r="F127" s="2" t="s">
        <v>521</v>
      </c>
      <c r="G127" s="2">
        <v>12</v>
      </c>
      <c r="H127" s="2" t="s">
        <v>526</v>
      </c>
      <c r="I127" s="2">
        <v>55.94</v>
      </c>
    </row>
    <row r="128" spans="1:9" x14ac:dyDescent="0.3">
      <c r="A128" s="2" t="s">
        <v>135</v>
      </c>
      <c r="B128" s="2" t="s">
        <v>514</v>
      </c>
      <c r="C128" s="2">
        <v>135</v>
      </c>
      <c r="D128" s="2">
        <v>79</v>
      </c>
      <c r="E128" s="2" t="s">
        <v>518</v>
      </c>
      <c r="F128" s="2" t="s">
        <v>522</v>
      </c>
      <c r="G128" s="2">
        <v>15</v>
      </c>
      <c r="H128" s="2" t="s">
        <v>528</v>
      </c>
      <c r="I128" s="2">
        <v>64.23</v>
      </c>
    </row>
    <row r="129" spans="1:9" x14ac:dyDescent="0.3">
      <c r="A129" s="2" t="s">
        <v>136</v>
      </c>
      <c r="B129" s="2" t="s">
        <v>509</v>
      </c>
      <c r="C129" s="2">
        <v>429</v>
      </c>
      <c r="D129" s="2">
        <v>48</v>
      </c>
      <c r="E129" s="2" t="s">
        <v>517</v>
      </c>
      <c r="F129" s="2" t="s">
        <v>521</v>
      </c>
      <c r="G129" s="2">
        <v>14</v>
      </c>
      <c r="H129" s="2" t="s">
        <v>525</v>
      </c>
      <c r="I129" s="2">
        <v>135.12</v>
      </c>
    </row>
    <row r="130" spans="1:9" x14ac:dyDescent="0.3">
      <c r="A130" s="2" t="s">
        <v>137</v>
      </c>
      <c r="B130" s="2" t="s">
        <v>511</v>
      </c>
      <c r="C130" s="2">
        <v>109</v>
      </c>
      <c r="D130" s="2">
        <v>84</v>
      </c>
      <c r="E130" s="2" t="s">
        <v>518</v>
      </c>
      <c r="F130" s="2" t="s">
        <v>522</v>
      </c>
      <c r="G130" s="2">
        <v>8</v>
      </c>
      <c r="H130" s="2" t="s">
        <v>527</v>
      </c>
      <c r="I130" s="2">
        <v>139.91</v>
      </c>
    </row>
    <row r="131" spans="1:9" x14ac:dyDescent="0.3">
      <c r="A131" s="2" t="s">
        <v>138</v>
      </c>
      <c r="B131" s="2" t="s">
        <v>512</v>
      </c>
      <c r="C131" s="2">
        <v>324</v>
      </c>
      <c r="D131" s="2">
        <v>93</v>
      </c>
      <c r="E131" s="2" t="s">
        <v>519</v>
      </c>
      <c r="F131" s="2" t="s">
        <v>523</v>
      </c>
      <c r="G131" s="2">
        <v>3</v>
      </c>
      <c r="H131" s="2" t="s">
        <v>526</v>
      </c>
      <c r="I131" s="2">
        <v>194.56</v>
      </c>
    </row>
    <row r="132" spans="1:9" x14ac:dyDescent="0.3">
      <c r="A132" s="2" t="s">
        <v>139</v>
      </c>
      <c r="B132" s="2" t="s">
        <v>515</v>
      </c>
      <c r="C132" s="2">
        <v>90</v>
      </c>
      <c r="D132" s="2">
        <v>90</v>
      </c>
      <c r="E132" s="2" t="s">
        <v>519</v>
      </c>
      <c r="F132" s="2" t="s">
        <v>523</v>
      </c>
      <c r="G132" s="2">
        <v>7</v>
      </c>
      <c r="H132" s="2" t="s">
        <v>528</v>
      </c>
      <c r="I132" s="2">
        <v>91.27</v>
      </c>
    </row>
    <row r="133" spans="1:9" x14ac:dyDescent="0.3">
      <c r="A133" s="2" t="s">
        <v>140</v>
      </c>
      <c r="B133" s="2" t="s">
        <v>512</v>
      </c>
      <c r="C133" s="2">
        <v>380</v>
      </c>
      <c r="D133" s="2">
        <v>29</v>
      </c>
      <c r="E133" s="2" t="s">
        <v>517</v>
      </c>
      <c r="F133" s="2" t="s">
        <v>521</v>
      </c>
      <c r="G133" s="2">
        <v>19</v>
      </c>
      <c r="H133" s="2" t="s">
        <v>528</v>
      </c>
      <c r="I133" s="2">
        <v>51.95</v>
      </c>
    </row>
    <row r="134" spans="1:9" x14ac:dyDescent="0.3">
      <c r="A134" s="2" t="s">
        <v>141</v>
      </c>
      <c r="B134" s="2" t="s">
        <v>511</v>
      </c>
      <c r="C134" s="2">
        <v>340</v>
      </c>
      <c r="D134" s="2">
        <v>48</v>
      </c>
      <c r="E134" s="2" t="s">
        <v>516</v>
      </c>
      <c r="F134" s="2" t="s">
        <v>520</v>
      </c>
      <c r="G134" s="2">
        <v>4</v>
      </c>
      <c r="H134" s="2" t="s">
        <v>525</v>
      </c>
      <c r="I134" s="2">
        <v>50.55</v>
      </c>
    </row>
    <row r="135" spans="1:9" x14ac:dyDescent="0.3">
      <c r="A135" s="2" t="s">
        <v>142</v>
      </c>
      <c r="B135" s="2" t="s">
        <v>511</v>
      </c>
      <c r="C135" s="2">
        <v>82</v>
      </c>
      <c r="D135" s="2">
        <v>98</v>
      </c>
      <c r="E135" s="2" t="s">
        <v>518</v>
      </c>
      <c r="F135" s="2" t="s">
        <v>522</v>
      </c>
      <c r="G135" s="2">
        <v>7</v>
      </c>
      <c r="H135" s="2" t="s">
        <v>524</v>
      </c>
      <c r="I135" s="2">
        <v>83.69</v>
      </c>
    </row>
    <row r="136" spans="1:9" x14ac:dyDescent="0.3">
      <c r="A136" s="2" t="s">
        <v>143</v>
      </c>
      <c r="B136" s="2" t="s">
        <v>509</v>
      </c>
      <c r="C136" s="2">
        <v>0</v>
      </c>
      <c r="D136" s="2">
        <v>98</v>
      </c>
      <c r="E136" s="2" t="s">
        <v>518</v>
      </c>
      <c r="F136" s="2" t="s">
        <v>522</v>
      </c>
      <c r="G136" s="2">
        <v>16</v>
      </c>
      <c r="H136" s="2" t="s">
        <v>525</v>
      </c>
      <c r="I136" s="2">
        <v>178.12</v>
      </c>
    </row>
    <row r="137" spans="1:9" x14ac:dyDescent="0.3">
      <c r="A137" s="2" t="s">
        <v>144</v>
      </c>
      <c r="B137" s="2" t="s">
        <v>510</v>
      </c>
      <c r="C137" s="2">
        <v>242</v>
      </c>
      <c r="D137" s="2">
        <v>61</v>
      </c>
      <c r="E137" s="2" t="s">
        <v>517</v>
      </c>
      <c r="F137" s="2" t="s">
        <v>521</v>
      </c>
      <c r="G137" s="2">
        <v>14</v>
      </c>
      <c r="H137" s="2" t="s">
        <v>524</v>
      </c>
      <c r="I137" s="2">
        <v>118.66</v>
      </c>
    </row>
    <row r="138" spans="1:9" x14ac:dyDescent="0.3">
      <c r="A138" s="2" t="s">
        <v>145</v>
      </c>
      <c r="B138" s="2" t="s">
        <v>510</v>
      </c>
      <c r="C138" s="2">
        <v>403</v>
      </c>
      <c r="D138" s="2">
        <v>99</v>
      </c>
      <c r="E138" s="2" t="s">
        <v>517</v>
      </c>
      <c r="F138" s="2" t="s">
        <v>521</v>
      </c>
      <c r="G138" s="2">
        <v>7</v>
      </c>
      <c r="H138" s="2" t="s">
        <v>528</v>
      </c>
      <c r="I138" s="2">
        <v>156.72</v>
      </c>
    </row>
    <row r="139" spans="1:9" x14ac:dyDescent="0.3">
      <c r="A139" s="2" t="s">
        <v>146</v>
      </c>
      <c r="B139" s="2" t="s">
        <v>512</v>
      </c>
      <c r="C139" s="2">
        <v>301</v>
      </c>
      <c r="D139" s="2">
        <v>52</v>
      </c>
      <c r="E139" s="2" t="s">
        <v>517</v>
      </c>
      <c r="F139" s="2" t="s">
        <v>521</v>
      </c>
      <c r="G139" s="2">
        <v>4</v>
      </c>
      <c r="H139" s="2" t="s">
        <v>525</v>
      </c>
      <c r="I139" s="2">
        <v>68.489999999999995</v>
      </c>
    </row>
    <row r="140" spans="1:9" x14ac:dyDescent="0.3">
      <c r="A140" s="2" t="s">
        <v>147</v>
      </c>
      <c r="B140" s="2" t="s">
        <v>514</v>
      </c>
      <c r="C140" s="2">
        <v>92</v>
      </c>
      <c r="D140" s="2">
        <v>83</v>
      </c>
      <c r="E140" s="2" t="s">
        <v>518</v>
      </c>
      <c r="F140" s="2" t="s">
        <v>522</v>
      </c>
      <c r="G140" s="2">
        <v>3</v>
      </c>
      <c r="H140" s="2" t="s">
        <v>524</v>
      </c>
      <c r="I140" s="2">
        <v>21.68</v>
      </c>
    </row>
    <row r="141" spans="1:9" x14ac:dyDescent="0.3">
      <c r="A141" s="2" t="s">
        <v>148</v>
      </c>
      <c r="B141" s="2" t="s">
        <v>510</v>
      </c>
      <c r="C141" s="2">
        <v>453</v>
      </c>
      <c r="D141" s="2">
        <v>94</v>
      </c>
      <c r="E141" s="2" t="s">
        <v>516</v>
      </c>
      <c r="F141" s="2" t="s">
        <v>520</v>
      </c>
      <c r="G141" s="2">
        <v>17</v>
      </c>
      <c r="H141" s="2" t="s">
        <v>528</v>
      </c>
      <c r="I141" s="2">
        <v>8.67</v>
      </c>
    </row>
    <row r="142" spans="1:9" x14ac:dyDescent="0.3">
      <c r="A142" s="2" t="s">
        <v>149</v>
      </c>
      <c r="B142" s="2" t="s">
        <v>510</v>
      </c>
      <c r="C142" s="2">
        <v>348</v>
      </c>
      <c r="D142" s="2">
        <v>48</v>
      </c>
      <c r="E142" s="2" t="s">
        <v>517</v>
      </c>
      <c r="F142" s="2" t="s">
        <v>521</v>
      </c>
      <c r="G142" s="2">
        <v>18</v>
      </c>
      <c r="H142" s="2" t="s">
        <v>528</v>
      </c>
      <c r="I142" s="2">
        <v>114.6</v>
      </c>
    </row>
    <row r="143" spans="1:9" x14ac:dyDescent="0.3">
      <c r="A143" s="2" t="s">
        <v>150</v>
      </c>
      <c r="B143" s="2" t="s">
        <v>513</v>
      </c>
      <c r="C143" s="2">
        <v>128</v>
      </c>
      <c r="D143" s="2">
        <v>82</v>
      </c>
      <c r="E143" s="2" t="s">
        <v>518</v>
      </c>
      <c r="F143" s="2" t="s">
        <v>522</v>
      </c>
      <c r="G143" s="2">
        <v>11</v>
      </c>
      <c r="H143" s="2" t="s">
        <v>526</v>
      </c>
      <c r="I143" s="2">
        <v>169.07</v>
      </c>
    </row>
    <row r="144" spans="1:9" x14ac:dyDescent="0.3">
      <c r="A144" s="2" t="s">
        <v>151</v>
      </c>
      <c r="B144" s="2" t="s">
        <v>512</v>
      </c>
      <c r="C144" s="2">
        <v>325</v>
      </c>
      <c r="D144" s="2">
        <v>100</v>
      </c>
      <c r="E144" s="2" t="s">
        <v>517</v>
      </c>
      <c r="F144" s="2" t="s">
        <v>521</v>
      </c>
      <c r="G144" s="2">
        <v>16</v>
      </c>
      <c r="H144" s="2" t="s">
        <v>526</v>
      </c>
      <c r="I144" s="2">
        <v>86.86</v>
      </c>
    </row>
    <row r="145" spans="1:9" x14ac:dyDescent="0.3">
      <c r="A145" s="2" t="s">
        <v>152</v>
      </c>
      <c r="B145" s="2" t="s">
        <v>509</v>
      </c>
      <c r="C145" s="2">
        <v>230</v>
      </c>
      <c r="D145" s="2">
        <v>45</v>
      </c>
      <c r="E145" s="2" t="s">
        <v>518</v>
      </c>
      <c r="F145" s="2" t="s">
        <v>522</v>
      </c>
      <c r="G145" s="2">
        <v>9</v>
      </c>
      <c r="H145" s="2" t="s">
        <v>527</v>
      </c>
      <c r="I145" s="2">
        <v>96.41</v>
      </c>
    </row>
    <row r="146" spans="1:9" x14ac:dyDescent="0.3">
      <c r="A146" s="2" t="s">
        <v>153</v>
      </c>
      <c r="B146" s="2" t="s">
        <v>513</v>
      </c>
      <c r="C146" s="2">
        <v>108</v>
      </c>
      <c r="D146" s="2">
        <v>45</v>
      </c>
      <c r="E146" s="2" t="s">
        <v>518</v>
      </c>
      <c r="F146" s="2" t="s">
        <v>522</v>
      </c>
      <c r="G146" s="2">
        <v>15</v>
      </c>
      <c r="H146" s="2" t="s">
        <v>528</v>
      </c>
      <c r="I146" s="2">
        <v>95.59</v>
      </c>
    </row>
    <row r="147" spans="1:9" x14ac:dyDescent="0.3">
      <c r="A147" s="2" t="s">
        <v>154</v>
      </c>
      <c r="B147" s="2" t="s">
        <v>512</v>
      </c>
      <c r="C147" s="2">
        <v>44</v>
      </c>
      <c r="D147" s="2">
        <v>47</v>
      </c>
      <c r="E147" s="2" t="s">
        <v>518</v>
      </c>
      <c r="F147" s="2" t="s">
        <v>522</v>
      </c>
      <c r="G147" s="2">
        <v>20</v>
      </c>
      <c r="H147" s="2" t="s">
        <v>524</v>
      </c>
      <c r="I147" s="2">
        <v>103.73</v>
      </c>
    </row>
    <row r="148" spans="1:9" x14ac:dyDescent="0.3">
      <c r="A148" s="2" t="s">
        <v>155</v>
      </c>
      <c r="B148" s="2" t="s">
        <v>511</v>
      </c>
      <c r="C148" s="2">
        <v>95</v>
      </c>
      <c r="D148" s="2">
        <v>56</v>
      </c>
      <c r="E148" s="2" t="s">
        <v>519</v>
      </c>
      <c r="F148" s="2" t="s">
        <v>523</v>
      </c>
      <c r="G148" s="2">
        <v>13</v>
      </c>
      <c r="H148" s="2" t="s">
        <v>525</v>
      </c>
      <c r="I148" s="2">
        <v>77.41</v>
      </c>
    </row>
    <row r="149" spans="1:9" x14ac:dyDescent="0.3">
      <c r="A149" s="2" t="s">
        <v>156</v>
      </c>
      <c r="B149" s="2" t="s">
        <v>514</v>
      </c>
      <c r="C149" s="2">
        <v>112</v>
      </c>
      <c r="D149" s="2">
        <v>69</v>
      </c>
      <c r="E149" s="2" t="s">
        <v>516</v>
      </c>
      <c r="F149" s="2" t="s">
        <v>520</v>
      </c>
      <c r="G149" s="2">
        <v>5</v>
      </c>
      <c r="H149" s="2" t="s">
        <v>528</v>
      </c>
      <c r="I149" s="2">
        <v>102.27</v>
      </c>
    </row>
    <row r="150" spans="1:9" x14ac:dyDescent="0.3">
      <c r="A150" s="2" t="s">
        <v>157</v>
      </c>
      <c r="B150" s="2" t="s">
        <v>510</v>
      </c>
      <c r="C150" s="2">
        <v>369</v>
      </c>
      <c r="D150" s="2">
        <v>97</v>
      </c>
      <c r="E150" s="2" t="s">
        <v>519</v>
      </c>
      <c r="F150" s="2" t="s">
        <v>523</v>
      </c>
      <c r="G150" s="2">
        <v>19</v>
      </c>
      <c r="H150" s="2" t="s">
        <v>525</v>
      </c>
      <c r="I150" s="2">
        <v>143.97999999999999</v>
      </c>
    </row>
    <row r="151" spans="1:9" x14ac:dyDescent="0.3">
      <c r="A151" s="2" t="s">
        <v>158</v>
      </c>
      <c r="B151" s="2" t="s">
        <v>512</v>
      </c>
      <c r="C151" s="2">
        <v>457</v>
      </c>
      <c r="D151" s="2">
        <v>59</v>
      </c>
      <c r="E151" s="2" t="s">
        <v>519</v>
      </c>
      <c r="F151" s="2" t="s">
        <v>523</v>
      </c>
      <c r="G151" s="2">
        <v>5</v>
      </c>
      <c r="H151" s="2" t="s">
        <v>526</v>
      </c>
      <c r="I151" s="2">
        <v>40.92</v>
      </c>
    </row>
    <row r="152" spans="1:9" x14ac:dyDescent="0.3">
      <c r="A152" s="2" t="s">
        <v>159</v>
      </c>
      <c r="B152" s="2" t="s">
        <v>515</v>
      </c>
      <c r="C152" s="2">
        <v>170</v>
      </c>
      <c r="D152" s="2">
        <v>92</v>
      </c>
      <c r="E152" s="2" t="s">
        <v>519</v>
      </c>
      <c r="F152" s="2" t="s">
        <v>523</v>
      </c>
      <c r="G152" s="2">
        <v>18</v>
      </c>
      <c r="H152" s="2" t="s">
        <v>528</v>
      </c>
      <c r="I152" s="2">
        <v>11.78</v>
      </c>
    </row>
    <row r="153" spans="1:9" x14ac:dyDescent="0.3">
      <c r="A153" s="2" t="s">
        <v>160</v>
      </c>
      <c r="B153" s="2" t="s">
        <v>509</v>
      </c>
      <c r="C153" s="2">
        <v>316</v>
      </c>
      <c r="D153" s="2">
        <v>88</v>
      </c>
      <c r="E153" s="2" t="s">
        <v>517</v>
      </c>
      <c r="F153" s="2" t="s">
        <v>521</v>
      </c>
      <c r="G153" s="2">
        <v>6</v>
      </c>
      <c r="H153" s="2" t="s">
        <v>526</v>
      </c>
      <c r="I153" s="2">
        <v>41.04</v>
      </c>
    </row>
    <row r="154" spans="1:9" x14ac:dyDescent="0.3">
      <c r="A154" s="2" t="s">
        <v>161</v>
      </c>
      <c r="B154" s="2" t="s">
        <v>515</v>
      </c>
      <c r="C154" s="2">
        <v>234</v>
      </c>
      <c r="D154" s="2">
        <v>69</v>
      </c>
      <c r="E154" s="2" t="s">
        <v>519</v>
      </c>
      <c r="F154" s="2" t="s">
        <v>523</v>
      </c>
      <c r="G154" s="2">
        <v>6</v>
      </c>
      <c r="H154" s="2" t="s">
        <v>527</v>
      </c>
      <c r="I154" s="2">
        <v>132.61000000000001</v>
      </c>
    </row>
    <row r="155" spans="1:9" x14ac:dyDescent="0.3">
      <c r="A155" s="2" t="s">
        <v>162</v>
      </c>
      <c r="B155" s="2" t="s">
        <v>515</v>
      </c>
      <c r="C155" s="2">
        <v>319</v>
      </c>
      <c r="D155" s="2">
        <v>92</v>
      </c>
      <c r="E155" s="2" t="s">
        <v>519</v>
      </c>
      <c r="F155" s="2" t="s">
        <v>523</v>
      </c>
      <c r="G155" s="2">
        <v>11</v>
      </c>
      <c r="H155" s="2" t="s">
        <v>527</v>
      </c>
      <c r="I155" s="2">
        <v>20.67</v>
      </c>
    </row>
    <row r="156" spans="1:9" x14ac:dyDescent="0.3">
      <c r="A156" s="2" t="s">
        <v>163</v>
      </c>
      <c r="B156" s="2" t="s">
        <v>513</v>
      </c>
      <c r="C156" s="2">
        <v>99</v>
      </c>
      <c r="D156" s="2">
        <v>94</v>
      </c>
      <c r="E156" s="2" t="s">
        <v>517</v>
      </c>
      <c r="F156" s="2" t="s">
        <v>521</v>
      </c>
      <c r="G156" s="2">
        <v>20</v>
      </c>
      <c r="H156" s="2" t="s">
        <v>527</v>
      </c>
      <c r="I156" s="2">
        <v>159.72</v>
      </c>
    </row>
    <row r="157" spans="1:9" x14ac:dyDescent="0.3">
      <c r="A157" s="2" t="s">
        <v>164</v>
      </c>
      <c r="B157" s="2" t="s">
        <v>510</v>
      </c>
      <c r="C157" s="2">
        <v>499</v>
      </c>
      <c r="D157" s="2">
        <v>52</v>
      </c>
      <c r="E157" s="2" t="s">
        <v>517</v>
      </c>
      <c r="F157" s="2" t="s">
        <v>521</v>
      </c>
      <c r="G157" s="2">
        <v>16</v>
      </c>
      <c r="H157" s="2" t="s">
        <v>527</v>
      </c>
      <c r="I157" s="2">
        <v>119.94</v>
      </c>
    </row>
    <row r="158" spans="1:9" x14ac:dyDescent="0.3">
      <c r="A158" s="2" t="s">
        <v>165</v>
      </c>
      <c r="B158" s="2" t="s">
        <v>511</v>
      </c>
      <c r="C158" s="2">
        <v>339</v>
      </c>
      <c r="D158" s="2">
        <v>22</v>
      </c>
      <c r="E158" s="2" t="s">
        <v>516</v>
      </c>
      <c r="F158" s="2" t="s">
        <v>520</v>
      </c>
      <c r="G158" s="2">
        <v>10</v>
      </c>
      <c r="H158" s="2" t="s">
        <v>528</v>
      </c>
      <c r="I158" s="2">
        <v>14.99</v>
      </c>
    </row>
    <row r="159" spans="1:9" x14ac:dyDescent="0.3">
      <c r="A159" s="2" t="s">
        <v>166</v>
      </c>
      <c r="B159" s="2" t="s">
        <v>514</v>
      </c>
      <c r="C159" s="2">
        <v>172</v>
      </c>
      <c r="D159" s="2">
        <v>41</v>
      </c>
      <c r="E159" s="2" t="s">
        <v>518</v>
      </c>
      <c r="F159" s="2" t="s">
        <v>522</v>
      </c>
      <c r="G159" s="2">
        <v>19</v>
      </c>
      <c r="H159" s="2" t="s">
        <v>525</v>
      </c>
      <c r="I159" s="2">
        <v>133.44999999999999</v>
      </c>
    </row>
    <row r="160" spans="1:9" x14ac:dyDescent="0.3">
      <c r="A160" s="2" t="s">
        <v>167</v>
      </c>
      <c r="B160" s="2" t="s">
        <v>515</v>
      </c>
      <c r="C160" s="2">
        <v>406</v>
      </c>
      <c r="D160" s="2">
        <v>41</v>
      </c>
      <c r="E160" s="2" t="s">
        <v>516</v>
      </c>
      <c r="F160" s="2" t="s">
        <v>520</v>
      </c>
      <c r="G160" s="2">
        <v>5</v>
      </c>
      <c r="H160" s="2" t="s">
        <v>526</v>
      </c>
      <c r="I160" s="2">
        <v>108.66</v>
      </c>
    </row>
    <row r="161" spans="1:9" x14ac:dyDescent="0.3">
      <c r="A161" s="2" t="s">
        <v>168</v>
      </c>
      <c r="B161" s="2" t="s">
        <v>509</v>
      </c>
      <c r="C161" s="2">
        <v>127</v>
      </c>
      <c r="D161" s="2">
        <v>50</v>
      </c>
      <c r="E161" s="2" t="s">
        <v>516</v>
      </c>
      <c r="F161" s="2" t="s">
        <v>520</v>
      </c>
      <c r="G161" s="2">
        <v>16</v>
      </c>
      <c r="H161" s="2" t="s">
        <v>526</v>
      </c>
      <c r="I161" s="2">
        <v>37.79</v>
      </c>
    </row>
    <row r="162" spans="1:9" x14ac:dyDescent="0.3">
      <c r="A162" s="2" t="s">
        <v>169</v>
      </c>
      <c r="B162" s="2" t="s">
        <v>511</v>
      </c>
      <c r="C162" s="2">
        <v>1</v>
      </c>
      <c r="D162" s="2">
        <v>62</v>
      </c>
      <c r="E162" s="2" t="s">
        <v>518</v>
      </c>
      <c r="F162" s="2" t="s">
        <v>522</v>
      </c>
      <c r="G162" s="2">
        <v>7</v>
      </c>
      <c r="H162" s="2" t="s">
        <v>527</v>
      </c>
      <c r="I162" s="2">
        <v>42.53</v>
      </c>
    </row>
    <row r="163" spans="1:9" x14ac:dyDescent="0.3">
      <c r="A163" s="2" t="s">
        <v>170</v>
      </c>
      <c r="B163" s="2" t="s">
        <v>509</v>
      </c>
      <c r="C163" s="2">
        <v>13</v>
      </c>
      <c r="D163" s="2">
        <v>96</v>
      </c>
      <c r="E163" s="2" t="s">
        <v>516</v>
      </c>
      <c r="F163" s="2" t="s">
        <v>520</v>
      </c>
      <c r="G163" s="2">
        <v>9</v>
      </c>
      <c r="H163" s="2" t="s">
        <v>524</v>
      </c>
      <c r="I163" s="2">
        <v>172.49</v>
      </c>
    </row>
    <row r="164" spans="1:9" x14ac:dyDescent="0.3">
      <c r="A164" s="2" t="s">
        <v>171</v>
      </c>
      <c r="B164" s="2" t="s">
        <v>515</v>
      </c>
      <c r="C164" s="2">
        <v>57</v>
      </c>
      <c r="D164" s="2">
        <v>67</v>
      </c>
      <c r="E164" s="2" t="s">
        <v>519</v>
      </c>
      <c r="F164" s="2" t="s">
        <v>523</v>
      </c>
      <c r="G164" s="2">
        <v>10</v>
      </c>
      <c r="H164" s="2" t="s">
        <v>528</v>
      </c>
      <c r="I164" s="2">
        <v>114.89</v>
      </c>
    </row>
    <row r="165" spans="1:9" x14ac:dyDescent="0.3">
      <c r="A165" s="2" t="s">
        <v>172</v>
      </c>
      <c r="B165" s="2" t="s">
        <v>514</v>
      </c>
      <c r="C165" s="2">
        <v>469</v>
      </c>
      <c r="D165" s="2">
        <v>50</v>
      </c>
      <c r="E165" s="2" t="s">
        <v>517</v>
      </c>
      <c r="F165" s="2" t="s">
        <v>521</v>
      </c>
      <c r="G165" s="2">
        <v>21</v>
      </c>
      <c r="H165" s="2" t="s">
        <v>527</v>
      </c>
      <c r="I165" s="2">
        <v>25.72</v>
      </c>
    </row>
    <row r="166" spans="1:9" x14ac:dyDescent="0.3">
      <c r="A166" s="2" t="s">
        <v>173</v>
      </c>
      <c r="B166" s="2" t="s">
        <v>511</v>
      </c>
      <c r="C166" s="2">
        <v>387</v>
      </c>
      <c r="D166" s="2">
        <v>98</v>
      </c>
      <c r="E166" s="2" t="s">
        <v>518</v>
      </c>
      <c r="F166" s="2" t="s">
        <v>522</v>
      </c>
      <c r="G166" s="2">
        <v>13</v>
      </c>
      <c r="H166" s="2" t="s">
        <v>528</v>
      </c>
      <c r="I166" s="2">
        <v>98.29</v>
      </c>
    </row>
    <row r="167" spans="1:9" x14ac:dyDescent="0.3">
      <c r="A167" s="2" t="s">
        <v>174</v>
      </c>
      <c r="B167" s="2" t="s">
        <v>509</v>
      </c>
      <c r="C167" s="2">
        <v>440</v>
      </c>
      <c r="D167" s="2">
        <v>43</v>
      </c>
      <c r="E167" s="2" t="s">
        <v>516</v>
      </c>
      <c r="F167" s="2" t="s">
        <v>520</v>
      </c>
      <c r="G167" s="2">
        <v>12</v>
      </c>
      <c r="H167" s="2" t="s">
        <v>524</v>
      </c>
      <c r="I167" s="2">
        <v>8.98</v>
      </c>
    </row>
    <row r="168" spans="1:9" x14ac:dyDescent="0.3">
      <c r="A168" s="2" t="s">
        <v>175</v>
      </c>
      <c r="B168" s="2" t="s">
        <v>515</v>
      </c>
      <c r="C168" s="2">
        <v>426</v>
      </c>
      <c r="D168" s="2">
        <v>80</v>
      </c>
      <c r="E168" s="2" t="s">
        <v>518</v>
      </c>
      <c r="F168" s="2" t="s">
        <v>522</v>
      </c>
      <c r="G168" s="2">
        <v>20</v>
      </c>
      <c r="H168" s="2" t="s">
        <v>526</v>
      </c>
      <c r="I168" s="2">
        <v>185.42</v>
      </c>
    </row>
    <row r="169" spans="1:9" x14ac:dyDescent="0.3">
      <c r="A169" s="2" t="s">
        <v>176</v>
      </c>
      <c r="B169" s="2" t="s">
        <v>515</v>
      </c>
      <c r="C169" s="2">
        <v>317</v>
      </c>
      <c r="D169" s="2">
        <v>68</v>
      </c>
      <c r="E169" s="2" t="s">
        <v>517</v>
      </c>
      <c r="F169" s="2" t="s">
        <v>521</v>
      </c>
      <c r="G169" s="2">
        <v>8</v>
      </c>
      <c r="H169" s="2" t="s">
        <v>528</v>
      </c>
      <c r="I169" s="2">
        <v>152.06</v>
      </c>
    </row>
    <row r="170" spans="1:9" x14ac:dyDescent="0.3">
      <c r="A170" s="2" t="s">
        <v>177</v>
      </c>
      <c r="B170" s="2" t="s">
        <v>509</v>
      </c>
      <c r="C170" s="2">
        <v>38</v>
      </c>
      <c r="D170" s="2">
        <v>22</v>
      </c>
      <c r="E170" s="2" t="s">
        <v>518</v>
      </c>
      <c r="F170" s="2" t="s">
        <v>522</v>
      </c>
      <c r="G170" s="2">
        <v>15</v>
      </c>
      <c r="H170" s="2" t="s">
        <v>528</v>
      </c>
      <c r="I170" s="2">
        <v>175.2</v>
      </c>
    </row>
    <row r="171" spans="1:9" x14ac:dyDescent="0.3">
      <c r="A171" s="2" t="s">
        <v>178</v>
      </c>
      <c r="B171" s="2" t="s">
        <v>513</v>
      </c>
      <c r="C171" s="2">
        <v>178</v>
      </c>
      <c r="D171" s="2">
        <v>46</v>
      </c>
      <c r="E171" s="2" t="s">
        <v>517</v>
      </c>
      <c r="F171" s="2" t="s">
        <v>521</v>
      </c>
      <c r="G171" s="2">
        <v>3</v>
      </c>
      <c r="H171" s="2" t="s">
        <v>528</v>
      </c>
      <c r="I171" s="2">
        <v>126.5</v>
      </c>
    </row>
    <row r="172" spans="1:9" x14ac:dyDescent="0.3">
      <c r="A172" s="2" t="s">
        <v>179</v>
      </c>
      <c r="B172" s="2" t="s">
        <v>513</v>
      </c>
      <c r="C172" s="2">
        <v>237</v>
      </c>
      <c r="D172" s="2">
        <v>65</v>
      </c>
      <c r="E172" s="2" t="s">
        <v>519</v>
      </c>
      <c r="F172" s="2" t="s">
        <v>523</v>
      </c>
      <c r="G172" s="2">
        <v>15</v>
      </c>
      <c r="H172" s="2" t="s">
        <v>527</v>
      </c>
      <c r="I172" s="2">
        <v>174.24</v>
      </c>
    </row>
    <row r="173" spans="1:9" x14ac:dyDescent="0.3">
      <c r="A173" s="2" t="s">
        <v>180</v>
      </c>
      <c r="B173" s="2" t="s">
        <v>515</v>
      </c>
      <c r="C173" s="2">
        <v>180</v>
      </c>
      <c r="D173" s="2">
        <v>92</v>
      </c>
      <c r="E173" s="2" t="s">
        <v>518</v>
      </c>
      <c r="F173" s="2" t="s">
        <v>522</v>
      </c>
      <c r="G173" s="2">
        <v>8</v>
      </c>
      <c r="H173" s="2" t="s">
        <v>528</v>
      </c>
      <c r="I173" s="2">
        <v>108.19</v>
      </c>
    </row>
    <row r="174" spans="1:9" x14ac:dyDescent="0.3">
      <c r="A174" s="2" t="s">
        <v>181</v>
      </c>
      <c r="B174" s="2" t="s">
        <v>511</v>
      </c>
      <c r="C174" s="2">
        <v>56</v>
      </c>
      <c r="D174" s="2">
        <v>64</v>
      </c>
      <c r="E174" s="2" t="s">
        <v>517</v>
      </c>
      <c r="F174" s="2" t="s">
        <v>521</v>
      </c>
      <c r="G174" s="2">
        <v>6</v>
      </c>
      <c r="H174" s="2" t="s">
        <v>526</v>
      </c>
      <c r="I174" s="2">
        <v>30.21</v>
      </c>
    </row>
    <row r="175" spans="1:9" x14ac:dyDescent="0.3">
      <c r="A175" s="2" t="s">
        <v>182</v>
      </c>
      <c r="B175" s="2" t="s">
        <v>514</v>
      </c>
      <c r="C175" s="2">
        <v>60</v>
      </c>
      <c r="D175" s="2">
        <v>74</v>
      </c>
      <c r="E175" s="2" t="s">
        <v>516</v>
      </c>
      <c r="F175" s="2" t="s">
        <v>520</v>
      </c>
      <c r="G175" s="2">
        <v>6</v>
      </c>
      <c r="H175" s="2" t="s">
        <v>527</v>
      </c>
      <c r="I175" s="2">
        <v>39.99</v>
      </c>
    </row>
    <row r="176" spans="1:9" x14ac:dyDescent="0.3">
      <c r="A176" s="2" t="s">
        <v>183</v>
      </c>
      <c r="B176" s="2" t="s">
        <v>514</v>
      </c>
      <c r="C176" s="2">
        <v>324</v>
      </c>
      <c r="D176" s="2">
        <v>33</v>
      </c>
      <c r="E176" s="2" t="s">
        <v>517</v>
      </c>
      <c r="F176" s="2" t="s">
        <v>521</v>
      </c>
      <c r="G176" s="2">
        <v>15</v>
      </c>
      <c r="H176" s="2" t="s">
        <v>528</v>
      </c>
      <c r="I176" s="2">
        <v>125.97</v>
      </c>
    </row>
    <row r="177" spans="1:9" x14ac:dyDescent="0.3">
      <c r="A177" s="2" t="s">
        <v>184</v>
      </c>
      <c r="B177" s="2" t="s">
        <v>515</v>
      </c>
      <c r="C177" s="2">
        <v>355</v>
      </c>
      <c r="D177" s="2">
        <v>60</v>
      </c>
      <c r="E177" s="2" t="s">
        <v>517</v>
      </c>
      <c r="F177" s="2" t="s">
        <v>521</v>
      </c>
      <c r="G177" s="2">
        <v>15</v>
      </c>
      <c r="H177" s="2" t="s">
        <v>526</v>
      </c>
      <c r="I177" s="2">
        <v>27.41</v>
      </c>
    </row>
    <row r="178" spans="1:9" x14ac:dyDescent="0.3">
      <c r="A178" s="2" t="s">
        <v>185</v>
      </c>
      <c r="B178" s="2" t="s">
        <v>514</v>
      </c>
      <c r="C178" s="2">
        <v>389</v>
      </c>
      <c r="D178" s="2">
        <v>30</v>
      </c>
      <c r="E178" s="2" t="s">
        <v>519</v>
      </c>
      <c r="F178" s="2" t="s">
        <v>523</v>
      </c>
      <c r="G178" s="2">
        <v>16</v>
      </c>
      <c r="H178" s="2" t="s">
        <v>526</v>
      </c>
      <c r="I178" s="2">
        <v>120.88</v>
      </c>
    </row>
    <row r="179" spans="1:9" x14ac:dyDescent="0.3">
      <c r="A179" s="2" t="s">
        <v>186</v>
      </c>
      <c r="B179" s="2" t="s">
        <v>515</v>
      </c>
      <c r="C179" s="2">
        <v>53</v>
      </c>
      <c r="D179" s="2">
        <v>47</v>
      </c>
      <c r="E179" s="2" t="s">
        <v>519</v>
      </c>
      <c r="F179" s="2" t="s">
        <v>523</v>
      </c>
      <c r="G179" s="2">
        <v>15</v>
      </c>
      <c r="H179" s="2" t="s">
        <v>525</v>
      </c>
      <c r="I179" s="2">
        <v>126.32</v>
      </c>
    </row>
    <row r="180" spans="1:9" x14ac:dyDescent="0.3">
      <c r="A180" s="2" t="s">
        <v>187</v>
      </c>
      <c r="B180" s="2" t="s">
        <v>509</v>
      </c>
      <c r="C180" s="2">
        <v>273</v>
      </c>
      <c r="D180" s="2">
        <v>60</v>
      </c>
      <c r="E180" s="2" t="s">
        <v>518</v>
      </c>
      <c r="F180" s="2" t="s">
        <v>522</v>
      </c>
      <c r="G180" s="2">
        <v>9</v>
      </c>
      <c r="H180" s="2" t="s">
        <v>525</v>
      </c>
      <c r="I180" s="2">
        <v>32.35</v>
      </c>
    </row>
    <row r="181" spans="1:9" x14ac:dyDescent="0.3">
      <c r="A181" s="2" t="s">
        <v>188</v>
      </c>
      <c r="B181" s="2" t="s">
        <v>515</v>
      </c>
      <c r="C181" s="2">
        <v>27</v>
      </c>
      <c r="D181" s="2">
        <v>57</v>
      </c>
      <c r="E181" s="2" t="s">
        <v>516</v>
      </c>
      <c r="F181" s="2" t="s">
        <v>520</v>
      </c>
      <c r="G181" s="2">
        <v>8</v>
      </c>
      <c r="H181" s="2" t="s">
        <v>525</v>
      </c>
      <c r="I181" s="2">
        <v>14.36</v>
      </c>
    </row>
    <row r="182" spans="1:9" x14ac:dyDescent="0.3">
      <c r="A182" s="2" t="s">
        <v>189</v>
      </c>
      <c r="B182" s="2" t="s">
        <v>513</v>
      </c>
      <c r="C182" s="2">
        <v>357</v>
      </c>
      <c r="D182" s="2">
        <v>44</v>
      </c>
      <c r="E182" s="2" t="s">
        <v>519</v>
      </c>
      <c r="F182" s="2" t="s">
        <v>523</v>
      </c>
      <c r="G182" s="2">
        <v>12</v>
      </c>
      <c r="H182" s="2" t="s">
        <v>525</v>
      </c>
      <c r="I182" s="2">
        <v>5.73</v>
      </c>
    </row>
    <row r="183" spans="1:9" x14ac:dyDescent="0.3">
      <c r="A183" s="2" t="s">
        <v>190</v>
      </c>
      <c r="B183" s="2" t="s">
        <v>509</v>
      </c>
      <c r="C183" s="2">
        <v>414</v>
      </c>
      <c r="D183" s="2">
        <v>25</v>
      </c>
      <c r="E183" s="2" t="s">
        <v>518</v>
      </c>
      <c r="F183" s="2" t="s">
        <v>522</v>
      </c>
      <c r="G183" s="2">
        <v>20</v>
      </c>
      <c r="H183" s="2" t="s">
        <v>527</v>
      </c>
      <c r="I183" s="2">
        <v>33.65</v>
      </c>
    </row>
    <row r="184" spans="1:9" x14ac:dyDescent="0.3">
      <c r="A184" s="2" t="s">
        <v>191</v>
      </c>
      <c r="B184" s="2" t="s">
        <v>514</v>
      </c>
      <c r="C184" s="2">
        <v>406</v>
      </c>
      <c r="D184" s="2">
        <v>62</v>
      </c>
      <c r="E184" s="2" t="s">
        <v>518</v>
      </c>
      <c r="F184" s="2" t="s">
        <v>522</v>
      </c>
      <c r="G184" s="2">
        <v>4</v>
      </c>
      <c r="H184" s="2" t="s">
        <v>528</v>
      </c>
      <c r="I184" s="2">
        <v>199.33</v>
      </c>
    </row>
    <row r="185" spans="1:9" x14ac:dyDescent="0.3">
      <c r="A185" s="2" t="s">
        <v>192</v>
      </c>
      <c r="B185" s="2" t="s">
        <v>513</v>
      </c>
      <c r="C185" s="2">
        <v>422</v>
      </c>
      <c r="D185" s="2">
        <v>78</v>
      </c>
      <c r="E185" s="2" t="s">
        <v>516</v>
      </c>
      <c r="F185" s="2" t="s">
        <v>520</v>
      </c>
      <c r="G185" s="2">
        <v>13</v>
      </c>
      <c r="H185" s="2" t="s">
        <v>528</v>
      </c>
      <c r="I185" s="2">
        <v>178.68</v>
      </c>
    </row>
    <row r="186" spans="1:9" x14ac:dyDescent="0.3">
      <c r="A186" s="2" t="s">
        <v>193</v>
      </c>
      <c r="B186" s="2" t="s">
        <v>511</v>
      </c>
      <c r="C186" s="2">
        <v>37</v>
      </c>
      <c r="D186" s="2">
        <v>49</v>
      </c>
      <c r="E186" s="2" t="s">
        <v>517</v>
      </c>
      <c r="F186" s="2" t="s">
        <v>521</v>
      </c>
      <c r="G186" s="2">
        <v>17</v>
      </c>
      <c r="H186" s="2" t="s">
        <v>528</v>
      </c>
      <c r="I186" s="2">
        <v>159.78</v>
      </c>
    </row>
    <row r="187" spans="1:9" x14ac:dyDescent="0.3">
      <c r="A187" s="2" t="s">
        <v>194</v>
      </c>
      <c r="B187" s="2" t="s">
        <v>510</v>
      </c>
      <c r="C187" s="2">
        <v>51</v>
      </c>
      <c r="D187" s="2">
        <v>26</v>
      </c>
      <c r="E187" s="2" t="s">
        <v>519</v>
      </c>
      <c r="F187" s="2" t="s">
        <v>523</v>
      </c>
      <c r="G187" s="2">
        <v>19</v>
      </c>
      <c r="H187" s="2" t="s">
        <v>527</v>
      </c>
      <c r="I187" s="2">
        <v>70.77</v>
      </c>
    </row>
    <row r="188" spans="1:9" x14ac:dyDescent="0.3">
      <c r="A188" s="2" t="s">
        <v>195</v>
      </c>
      <c r="B188" s="2" t="s">
        <v>514</v>
      </c>
      <c r="C188" s="2">
        <v>92</v>
      </c>
      <c r="D188" s="2">
        <v>40</v>
      </c>
      <c r="E188" s="2" t="s">
        <v>517</v>
      </c>
      <c r="F188" s="2" t="s">
        <v>521</v>
      </c>
      <c r="G188" s="2">
        <v>7</v>
      </c>
      <c r="H188" s="2" t="s">
        <v>526</v>
      </c>
      <c r="I188" s="2">
        <v>80.959999999999994</v>
      </c>
    </row>
    <row r="189" spans="1:9" x14ac:dyDescent="0.3">
      <c r="A189" s="2" t="s">
        <v>196</v>
      </c>
      <c r="B189" s="2" t="s">
        <v>509</v>
      </c>
      <c r="C189" s="2">
        <v>173</v>
      </c>
      <c r="D189" s="2">
        <v>95</v>
      </c>
      <c r="E189" s="2" t="s">
        <v>516</v>
      </c>
      <c r="F189" s="2" t="s">
        <v>520</v>
      </c>
      <c r="G189" s="2">
        <v>11</v>
      </c>
      <c r="H189" s="2" t="s">
        <v>527</v>
      </c>
      <c r="I189" s="2">
        <v>34.26</v>
      </c>
    </row>
    <row r="190" spans="1:9" x14ac:dyDescent="0.3">
      <c r="A190" s="2" t="s">
        <v>197</v>
      </c>
      <c r="B190" s="2" t="s">
        <v>513</v>
      </c>
      <c r="C190" s="2">
        <v>293</v>
      </c>
      <c r="D190" s="2">
        <v>81</v>
      </c>
      <c r="E190" s="2" t="s">
        <v>518</v>
      </c>
      <c r="F190" s="2" t="s">
        <v>522</v>
      </c>
      <c r="G190" s="2">
        <v>9</v>
      </c>
      <c r="H190" s="2" t="s">
        <v>524</v>
      </c>
      <c r="I190" s="2">
        <v>117.96</v>
      </c>
    </row>
    <row r="191" spans="1:9" x14ac:dyDescent="0.3">
      <c r="A191" s="2" t="s">
        <v>198</v>
      </c>
      <c r="B191" s="2" t="s">
        <v>511</v>
      </c>
      <c r="C191" s="2">
        <v>157</v>
      </c>
      <c r="D191" s="2">
        <v>68</v>
      </c>
      <c r="E191" s="2" t="s">
        <v>516</v>
      </c>
      <c r="F191" s="2" t="s">
        <v>520</v>
      </c>
      <c r="G191" s="2">
        <v>19</v>
      </c>
      <c r="H191" s="2" t="s">
        <v>524</v>
      </c>
      <c r="I191" s="2">
        <v>90.46</v>
      </c>
    </row>
    <row r="192" spans="1:9" x14ac:dyDescent="0.3">
      <c r="A192" s="2" t="s">
        <v>199</v>
      </c>
      <c r="B192" s="2" t="s">
        <v>512</v>
      </c>
      <c r="C192" s="2">
        <v>448</v>
      </c>
      <c r="D192" s="2">
        <v>53</v>
      </c>
      <c r="E192" s="2" t="s">
        <v>518</v>
      </c>
      <c r="F192" s="2" t="s">
        <v>522</v>
      </c>
      <c r="G192" s="2">
        <v>13</v>
      </c>
      <c r="H192" s="2" t="s">
        <v>528</v>
      </c>
      <c r="I192" s="2">
        <v>152.66999999999999</v>
      </c>
    </row>
    <row r="193" spans="1:9" x14ac:dyDescent="0.3">
      <c r="A193" s="2" t="s">
        <v>200</v>
      </c>
      <c r="B193" s="2" t="s">
        <v>512</v>
      </c>
      <c r="C193" s="2">
        <v>257</v>
      </c>
      <c r="D193" s="2">
        <v>46</v>
      </c>
      <c r="E193" s="2" t="s">
        <v>519</v>
      </c>
      <c r="F193" s="2" t="s">
        <v>523</v>
      </c>
      <c r="G193" s="2">
        <v>21</v>
      </c>
      <c r="H193" s="2" t="s">
        <v>526</v>
      </c>
      <c r="I193" s="2">
        <v>119.23</v>
      </c>
    </row>
    <row r="194" spans="1:9" x14ac:dyDescent="0.3">
      <c r="A194" s="2" t="s">
        <v>201</v>
      </c>
      <c r="B194" s="2" t="s">
        <v>514</v>
      </c>
      <c r="C194" s="2">
        <v>132</v>
      </c>
      <c r="D194" s="2">
        <v>55</v>
      </c>
      <c r="E194" s="2" t="s">
        <v>518</v>
      </c>
      <c r="F194" s="2" t="s">
        <v>522</v>
      </c>
      <c r="G194" s="2">
        <v>4</v>
      </c>
      <c r="H194" s="2" t="s">
        <v>527</v>
      </c>
      <c r="I194" s="2">
        <v>30.93</v>
      </c>
    </row>
    <row r="195" spans="1:9" x14ac:dyDescent="0.3">
      <c r="A195" s="2" t="s">
        <v>202</v>
      </c>
      <c r="B195" s="2" t="s">
        <v>513</v>
      </c>
      <c r="C195" s="2">
        <v>462</v>
      </c>
      <c r="D195" s="2">
        <v>56</v>
      </c>
      <c r="E195" s="2" t="s">
        <v>517</v>
      </c>
      <c r="F195" s="2" t="s">
        <v>521</v>
      </c>
      <c r="G195" s="2">
        <v>14</v>
      </c>
      <c r="H195" s="2" t="s">
        <v>524</v>
      </c>
      <c r="I195" s="2">
        <v>69.849999999999994</v>
      </c>
    </row>
    <row r="196" spans="1:9" x14ac:dyDescent="0.3">
      <c r="A196" s="2" t="s">
        <v>203</v>
      </c>
      <c r="B196" s="2" t="s">
        <v>511</v>
      </c>
      <c r="C196" s="2">
        <v>342</v>
      </c>
      <c r="D196" s="2">
        <v>98</v>
      </c>
      <c r="E196" s="2" t="s">
        <v>516</v>
      </c>
      <c r="F196" s="2" t="s">
        <v>520</v>
      </c>
      <c r="G196" s="2">
        <v>11</v>
      </c>
      <c r="H196" s="2" t="s">
        <v>524</v>
      </c>
      <c r="I196" s="2">
        <v>24.8</v>
      </c>
    </row>
    <row r="197" spans="1:9" x14ac:dyDescent="0.3">
      <c r="A197" s="2" t="s">
        <v>204</v>
      </c>
      <c r="B197" s="2" t="s">
        <v>513</v>
      </c>
      <c r="C197" s="2">
        <v>104</v>
      </c>
      <c r="D197" s="2">
        <v>37</v>
      </c>
      <c r="E197" s="2" t="s">
        <v>516</v>
      </c>
      <c r="F197" s="2" t="s">
        <v>520</v>
      </c>
      <c r="G197" s="2">
        <v>13</v>
      </c>
      <c r="H197" s="2" t="s">
        <v>528</v>
      </c>
      <c r="I197" s="2">
        <v>184.82</v>
      </c>
    </row>
    <row r="198" spans="1:9" x14ac:dyDescent="0.3">
      <c r="A198" s="2" t="s">
        <v>205</v>
      </c>
      <c r="B198" s="2" t="s">
        <v>511</v>
      </c>
      <c r="C198" s="2">
        <v>493</v>
      </c>
      <c r="D198" s="2">
        <v>64</v>
      </c>
      <c r="E198" s="2" t="s">
        <v>516</v>
      </c>
      <c r="F198" s="2" t="s">
        <v>520</v>
      </c>
      <c r="G198" s="2">
        <v>16</v>
      </c>
      <c r="H198" s="2" t="s">
        <v>525</v>
      </c>
      <c r="I198" s="2">
        <v>148.71</v>
      </c>
    </row>
    <row r="199" spans="1:9" x14ac:dyDescent="0.3">
      <c r="A199" s="2" t="s">
        <v>206</v>
      </c>
      <c r="B199" s="2" t="s">
        <v>511</v>
      </c>
      <c r="C199" s="2">
        <v>212</v>
      </c>
      <c r="D199" s="2">
        <v>95</v>
      </c>
      <c r="E199" s="2" t="s">
        <v>517</v>
      </c>
      <c r="F199" s="2" t="s">
        <v>521</v>
      </c>
      <c r="G199" s="2">
        <v>9</v>
      </c>
      <c r="H199" s="2" t="s">
        <v>527</v>
      </c>
      <c r="I199" s="2">
        <v>146.97999999999999</v>
      </c>
    </row>
    <row r="200" spans="1:9" x14ac:dyDescent="0.3">
      <c r="A200" s="2" t="s">
        <v>207</v>
      </c>
      <c r="B200" s="2" t="s">
        <v>511</v>
      </c>
      <c r="C200" s="2">
        <v>337</v>
      </c>
      <c r="D200" s="2">
        <v>49</v>
      </c>
      <c r="E200" s="2" t="s">
        <v>518</v>
      </c>
      <c r="F200" s="2" t="s">
        <v>522</v>
      </c>
      <c r="G200" s="2">
        <v>15</v>
      </c>
      <c r="H200" s="2" t="s">
        <v>525</v>
      </c>
      <c r="I200" s="2">
        <v>15.87</v>
      </c>
    </row>
    <row r="201" spans="1:9" x14ac:dyDescent="0.3">
      <c r="A201" s="2" t="s">
        <v>208</v>
      </c>
      <c r="B201" s="2" t="s">
        <v>513</v>
      </c>
      <c r="C201" s="2">
        <v>71</v>
      </c>
      <c r="D201" s="2">
        <v>50</v>
      </c>
      <c r="E201" s="2" t="s">
        <v>518</v>
      </c>
      <c r="F201" s="2" t="s">
        <v>522</v>
      </c>
      <c r="G201" s="2">
        <v>5</v>
      </c>
      <c r="H201" s="2" t="s">
        <v>526</v>
      </c>
      <c r="I201" s="2">
        <v>38.58</v>
      </c>
    </row>
    <row r="202" spans="1:9" x14ac:dyDescent="0.3">
      <c r="A202" s="2" t="s">
        <v>209</v>
      </c>
      <c r="B202" s="2" t="s">
        <v>510</v>
      </c>
      <c r="C202" s="2">
        <v>89</v>
      </c>
      <c r="D202" s="2">
        <v>31</v>
      </c>
      <c r="E202" s="2" t="s">
        <v>516</v>
      </c>
      <c r="F202" s="2" t="s">
        <v>520</v>
      </c>
      <c r="G202" s="2">
        <v>13</v>
      </c>
      <c r="H202" s="2" t="s">
        <v>528</v>
      </c>
      <c r="I202" s="2">
        <v>142.34</v>
      </c>
    </row>
    <row r="203" spans="1:9" x14ac:dyDescent="0.3">
      <c r="A203" s="2" t="s">
        <v>210</v>
      </c>
      <c r="B203" s="2" t="s">
        <v>515</v>
      </c>
      <c r="C203" s="2">
        <v>70</v>
      </c>
      <c r="D203" s="2">
        <v>73</v>
      </c>
      <c r="E203" s="2" t="s">
        <v>518</v>
      </c>
      <c r="F203" s="2" t="s">
        <v>522</v>
      </c>
      <c r="G203" s="2">
        <v>14</v>
      </c>
      <c r="H203" s="2" t="s">
        <v>526</v>
      </c>
      <c r="I203" s="2">
        <v>49.38</v>
      </c>
    </row>
    <row r="204" spans="1:9" x14ac:dyDescent="0.3">
      <c r="A204" s="2" t="s">
        <v>211</v>
      </c>
      <c r="B204" s="2" t="s">
        <v>509</v>
      </c>
      <c r="C204" s="2">
        <v>331</v>
      </c>
      <c r="D204" s="2">
        <v>85</v>
      </c>
      <c r="E204" s="2" t="s">
        <v>517</v>
      </c>
      <c r="F204" s="2" t="s">
        <v>521</v>
      </c>
      <c r="G204" s="2">
        <v>15</v>
      </c>
      <c r="H204" s="2" t="s">
        <v>526</v>
      </c>
      <c r="I204" s="2">
        <v>101.27</v>
      </c>
    </row>
    <row r="205" spans="1:9" x14ac:dyDescent="0.3">
      <c r="A205" s="2" t="s">
        <v>212</v>
      </c>
      <c r="B205" s="2" t="s">
        <v>511</v>
      </c>
      <c r="C205" s="2">
        <v>357</v>
      </c>
      <c r="D205" s="2">
        <v>82</v>
      </c>
      <c r="E205" s="2" t="s">
        <v>519</v>
      </c>
      <c r="F205" s="2" t="s">
        <v>523</v>
      </c>
      <c r="G205" s="2">
        <v>3</v>
      </c>
      <c r="H205" s="2" t="s">
        <v>528</v>
      </c>
      <c r="I205" s="2">
        <v>100.15</v>
      </c>
    </row>
    <row r="206" spans="1:9" x14ac:dyDescent="0.3">
      <c r="A206" s="2" t="s">
        <v>213</v>
      </c>
      <c r="B206" s="2" t="s">
        <v>510</v>
      </c>
      <c r="C206" s="2">
        <v>443</v>
      </c>
      <c r="D206" s="2">
        <v>61</v>
      </c>
      <c r="E206" s="2" t="s">
        <v>518</v>
      </c>
      <c r="F206" s="2" t="s">
        <v>522</v>
      </c>
      <c r="G206" s="2">
        <v>18</v>
      </c>
      <c r="H206" s="2" t="s">
        <v>525</v>
      </c>
      <c r="I206" s="2">
        <v>88.96</v>
      </c>
    </row>
    <row r="207" spans="1:9" x14ac:dyDescent="0.3">
      <c r="A207" s="2" t="s">
        <v>214</v>
      </c>
      <c r="B207" s="2" t="s">
        <v>510</v>
      </c>
      <c r="C207" s="2">
        <v>442</v>
      </c>
      <c r="D207" s="2">
        <v>61</v>
      </c>
      <c r="E207" s="2" t="s">
        <v>516</v>
      </c>
      <c r="F207" s="2" t="s">
        <v>520</v>
      </c>
      <c r="G207" s="2">
        <v>7</v>
      </c>
      <c r="H207" s="2" t="s">
        <v>526</v>
      </c>
      <c r="I207" s="2">
        <v>74.94</v>
      </c>
    </row>
    <row r="208" spans="1:9" x14ac:dyDescent="0.3">
      <c r="A208" s="2" t="s">
        <v>215</v>
      </c>
      <c r="B208" s="2" t="s">
        <v>512</v>
      </c>
      <c r="C208" s="2">
        <v>500</v>
      </c>
      <c r="D208" s="2">
        <v>62</v>
      </c>
      <c r="E208" s="2" t="s">
        <v>516</v>
      </c>
      <c r="F208" s="2" t="s">
        <v>520</v>
      </c>
      <c r="G208" s="2">
        <v>9</v>
      </c>
      <c r="H208" s="2" t="s">
        <v>527</v>
      </c>
      <c r="I208" s="2">
        <v>141.46</v>
      </c>
    </row>
    <row r="209" spans="1:9" x14ac:dyDescent="0.3">
      <c r="A209" s="2" t="s">
        <v>216</v>
      </c>
      <c r="B209" s="2" t="s">
        <v>514</v>
      </c>
      <c r="C209" s="2">
        <v>497</v>
      </c>
      <c r="D209" s="2">
        <v>74</v>
      </c>
      <c r="E209" s="2" t="s">
        <v>516</v>
      </c>
      <c r="F209" s="2" t="s">
        <v>520</v>
      </c>
      <c r="G209" s="2">
        <v>20</v>
      </c>
      <c r="H209" s="2" t="s">
        <v>528</v>
      </c>
      <c r="I209" s="2">
        <v>159.19</v>
      </c>
    </row>
    <row r="210" spans="1:9" x14ac:dyDescent="0.3">
      <c r="A210" s="2" t="s">
        <v>217</v>
      </c>
      <c r="B210" s="2" t="s">
        <v>509</v>
      </c>
      <c r="C210" s="2">
        <v>440</v>
      </c>
      <c r="D210" s="2">
        <v>47</v>
      </c>
      <c r="E210" s="2" t="s">
        <v>518</v>
      </c>
      <c r="F210" s="2" t="s">
        <v>522</v>
      </c>
      <c r="G210" s="2">
        <v>17</v>
      </c>
      <c r="H210" s="2" t="s">
        <v>528</v>
      </c>
      <c r="I210" s="2">
        <v>154.55000000000001</v>
      </c>
    </row>
    <row r="211" spans="1:9" x14ac:dyDescent="0.3">
      <c r="A211" s="2" t="s">
        <v>218</v>
      </c>
      <c r="B211" s="2" t="s">
        <v>515</v>
      </c>
      <c r="C211" s="2">
        <v>468</v>
      </c>
      <c r="D211" s="2">
        <v>99</v>
      </c>
      <c r="E211" s="2" t="s">
        <v>517</v>
      </c>
      <c r="F211" s="2" t="s">
        <v>521</v>
      </c>
      <c r="G211" s="2">
        <v>17</v>
      </c>
      <c r="H211" s="2" t="s">
        <v>527</v>
      </c>
      <c r="I211" s="2">
        <v>4.8899999999999997</v>
      </c>
    </row>
    <row r="212" spans="1:9" x14ac:dyDescent="0.3">
      <c r="A212" s="2" t="s">
        <v>219</v>
      </c>
      <c r="B212" s="2" t="s">
        <v>515</v>
      </c>
      <c r="C212" s="2">
        <v>484</v>
      </c>
      <c r="D212" s="2">
        <v>89</v>
      </c>
      <c r="E212" s="2" t="s">
        <v>517</v>
      </c>
      <c r="F212" s="2" t="s">
        <v>521</v>
      </c>
      <c r="G212" s="2">
        <v>3</v>
      </c>
      <c r="H212" s="2" t="s">
        <v>526</v>
      </c>
      <c r="I212" s="2">
        <v>121.81</v>
      </c>
    </row>
    <row r="213" spans="1:9" x14ac:dyDescent="0.3">
      <c r="A213" s="2" t="s">
        <v>220</v>
      </c>
      <c r="B213" s="2" t="s">
        <v>510</v>
      </c>
      <c r="C213" s="2">
        <v>262</v>
      </c>
      <c r="D213" s="2">
        <v>60</v>
      </c>
      <c r="E213" s="2" t="s">
        <v>517</v>
      </c>
      <c r="F213" s="2" t="s">
        <v>521</v>
      </c>
      <c r="G213" s="2">
        <v>7</v>
      </c>
      <c r="H213" s="2" t="s">
        <v>527</v>
      </c>
      <c r="I213" s="2">
        <v>157.86000000000001</v>
      </c>
    </row>
    <row r="214" spans="1:9" x14ac:dyDescent="0.3">
      <c r="A214" s="2" t="s">
        <v>221</v>
      </c>
      <c r="B214" s="2" t="s">
        <v>511</v>
      </c>
      <c r="C214" s="2">
        <v>378</v>
      </c>
      <c r="D214" s="2">
        <v>64</v>
      </c>
      <c r="E214" s="2" t="s">
        <v>517</v>
      </c>
      <c r="F214" s="2" t="s">
        <v>521</v>
      </c>
      <c r="G214" s="2">
        <v>11</v>
      </c>
      <c r="H214" s="2" t="s">
        <v>526</v>
      </c>
      <c r="I214" s="2">
        <v>13.9</v>
      </c>
    </row>
    <row r="215" spans="1:9" x14ac:dyDescent="0.3">
      <c r="A215" s="2" t="s">
        <v>222</v>
      </c>
      <c r="B215" s="2" t="s">
        <v>510</v>
      </c>
      <c r="C215" s="2">
        <v>166</v>
      </c>
      <c r="D215" s="2">
        <v>94</v>
      </c>
      <c r="E215" s="2" t="s">
        <v>516</v>
      </c>
      <c r="F215" s="2" t="s">
        <v>520</v>
      </c>
      <c r="G215" s="2">
        <v>7</v>
      </c>
      <c r="H215" s="2" t="s">
        <v>524</v>
      </c>
      <c r="I215" s="2">
        <v>30.06</v>
      </c>
    </row>
    <row r="216" spans="1:9" x14ac:dyDescent="0.3">
      <c r="A216" s="2" t="s">
        <v>223</v>
      </c>
      <c r="B216" s="2" t="s">
        <v>515</v>
      </c>
      <c r="C216" s="2">
        <v>497</v>
      </c>
      <c r="D216" s="2">
        <v>60</v>
      </c>
      <c r="E216" s="2" t="s">
        <v>516</v>
      </c>
      <c r="F216" s="2" t="s">
        <v>520</v>
      </c>
      <c r="G216" s="2">
        <v>21</v>
      </c>
      <c r="H216" s="2" t="s">
        <v>527</v>
      </c>
      <c r="I216" s="2">
        <v>114.2</v>
      </c>
    </row>
    <row r="217" spans="1:9" x14ac:dyDescent="0.3">
      <c r="A217" s="2" t="s">
        <v>224</v>
      </c>
      <c r="B217" s="2" t="s">
        <v>512</v>
      </c>
      <c r="C217" s="2">
        <v>146</v>
      </c>
      <c r="D217" s="2">
        <v>39</v>
      </c>
      <c r="E217" s="2" t="s">
        <v>518</v>
      </c>
      <c r="F217" s="2" t="s">
        <v>522</v>
      </c>
      <c r="G217" s="2">
        <v>5</v>
      </c>
      <c r="H217" s="2" t="s">
        <v>527</v>
      </c>
      <c r="I217" s="2">
        <v>104.28</v>
      </c>
    </row>
    <row r="218" spans="1:9" x14ac:dyDescent="0.3">
      <c r="A218" s="2" t="s">
        <v>225</v>
      </c>
      <c r="B218" s="2" t="s">
        <v>511</v>
      </c>
      <c r="C218" s="2">
        <v>363</v>
      </c>
      <c r="D218" s="2">
        <v>78</v>
      </c>
      <c r="E218" s="2" t="s">
        <v>516</v>
      </c>
      <c r="F218" s="2" t="s">
        <v>520</v>
      </c>
      <c r="G218" s="2">
        <v>9</v>
      </c>
      <c r="H218" s="2" t="s">
        <v>527</v>
      </c>
      <c r="I218" s="2">
        <v>18.68</v>
      </c>
    </row>
    <row r="219" spans="1:9" x14ac:dyDescent="0.3">
      <c r="A219" s="2" t="s">
        <v>226</v>
      </c>
      <c r="B219" s="2" t="s">
        <v>513</v>
      </c>
      <c r="C219" s="2">
        <v>350</v>
      </c>
      <c r="D219" s="2">
        <v>49</v>
      </c>
      <c r="E219" s="2" t="s">
        <v>516</v>
      </c>
      <c r="F219" s="2" t="s">
        <v>520</v>
      </c>
      <c r="G219" s="2">
        <v>20</v>
      </c>
      <c r="H219" s="2" t="s">
        <v>527</v>
      </c>
      <c r="I219" s="2">
        <v>136.4</v>
      </c>
    </row>
    <row r="220" spans="1:9" x14ac:dyDescent="0.3">
      <c r="A220" s="2" t="s">
        <v>227</v>
      </c>
      <c r="B220" s="2" t="s">
        <v>509</v>
      </c>
      <c r="C220" s="2">
        <v>435</v>
      </c>
      <c r="D220" s="2">
        <v>54</v>
      </c>
      <c r="E220" s="2" t="s">
        <v>517</v>
      </c>
      <c r="F220" s="2" t="s">
        <v>521</v>
      </c>
      <c r="G220" s="2">
        <v>8</v>
      </c>
      <c r="H220" s="2" t="s">
        <v>527</v>
      </c>
      <c r="I220" s="2">
        <v>8.35</v>
      </c>
    </row>
    <row r="221" spans="1:9" x14ac:dyDescent="0.3">
      <c r="A221" s="2" t="s">
        <v>228</v>
      </c>
      <c r="B221" s="2" t="s">
        <v>514</v>
      </c>
      <c r="C221" s="2">
        <v>419</v>
      </c>
      <c r="D221" s="2">
        <v>79</v>
      </c>
      <c r="E221" s="2" t="s">
        <v>517</v>
      </c>
      <c r="F221" s="2" t="s">
        <v>521</v>
      </c>
      <c r="G221" s="2">
        <v>11</v>
      </c>
      <c r="H221" s="2" t="s">
        <v>525</v>
      </c>
      <c r="I221" s="2">
        <v>182.07</v>
      </c>
    </row>
    <row r="222" spans="1:9" x14ac:dyDescent="0.3">
      <c r="A222" s="2" t="s">
        <v>229</v>
      </c>
      <c r="B222" s="2" t="s">
        <v>510</v>
      </c>
      <c r="C222" s="2">
        <v>402</v>
      </c>
      <c r="D222" s="2">
        <v>48</v>
      </c>
      <c r="E222" s="2" t="s">
        <v>516</v>
      </c>
      <c r="F222" s="2" t="s">
        <v>520</v>
      </c>
      <c r="G222" s="2">
        <v>10</v>
      </c>
      <c r="H222" s="2" t="s">
        <v>524</v>
      </c>
      <c r="I222" s="2">
        <v>74.099999999999994</v>
      </c>
    </row>
    <row r="223" spans="1:9" x14ac:dyDescent="0.3">
      <c r="A223" s="2" t="s">
        <v>230</v>
      </c>
      <c r="B223" s="2" t="s">
        <v>509</v>
      </c>
      <c r="C223" s="2">
        <v>452</v>
      </c>
      <c r="D223" s="2">
        <v>74</v>
      </c>
      <c r="E223" s="2" t="s">
        <v>516</v>
      </c>
      <c r="F223" s="2" t="s">
        <v>520</v>
      </c>
      <c r="G223" s="2">
        <v>8</v>
      </c>
      <c r="H223" s="2" t="s">
        <v>528</v>
      </c>
      <c r="I223" s="2">
        <v>83.89</v>
      </c>
    </row>
    <row r="224" spans="1:9" x14ac:dyDescent="0.3">
      <c r="A224" s="2" t="s">
        <v>231</v>
      </c>
      <c r="B224" s="2" t="s">
        <v>512</v>
      </c>
      <c r="C224" s="2">
        <v>304</v>
      </c>
      <c r="D224" s="2">
        <v>54</v>
      </c>
      <c r="E224" s="2" t="s">
        <v>519</v>
      </c>
      <c r="F224" s="2" t="s">
        <v>523</v>
      </c>
      <c r="G224" s="2">
        <v>3</v>
      </c>
      <c r="H224" s="2" t="s">
        <v>527</v>
      </c>
      <c r="I224" s="2">
        <v>43.6</v>
      </c>
    </row>
    <row r="225" spans="1:9" x14ac:dyDescent="0.3">
      <c r="A225" s="2" t="s">
        <v>232</v>
      </c>
      <c r="B225" s="2" t="s">
        <v>509</v>
      </c>
      <c r="C225" s="2">
        <v>317</v>
      </c>
      <c r="D225" s="2">
        <v>60</v>
      </c>
      <c r="E225" s="2" t="s">
        <v>517</v>
      </c>
      <c r="F225" s="2" t="s">
        <v>521</v>
      </c>
      <c r="G225" s="2">
        <v>10</v>
      </c>
      <c r="H225" s="2" t="s">
        <v>524</v>
      </c>
      <c r="I225" s="2">
        <v>172.23</v>
      </c>
    </row>
    <row r="226" spans="1:9" x14ac:dyDescent="0.3">
      <c r="A226" s="2" t="s">
        <v>233</v>
      </c>
      <c r="B226" s="2" t="s">
        <v>513</v>
      </c>
      <c r="C226" s="2">
        <v>408</v>
      </c>
      <c r="D226" s="2">
        <v>80</v>
      </c>
      <c r="E226" s="2" t="s">
        <v>518</v>
      </c>
      <c r="F226" s="2" t="s">
        <v>522</v>
      </c>
      <c r="G226" s="2">
        <v>20</v>
      </c>
      <c r="H226" s="2" t="s">
        <v>524</v>
      </c>
      <c r="I226" s="2">
        <v>140.30000000000001</v>
      </c>
    </row>
    <row r="227" spans="1:9" x14ac:dyDescent="0.3">
      <c r="A227" s="2" t="s">
        <v>234</v>
      </c>
      <c r="B227" s="2" t="s">
        <v>510</v>
      </c>
      <c r="C227" s="2">
        <v>204</v>
      </c>
      <c r="D227" s="2">
        <v>47</v>
      </c>
      <c r="E227" s="2" t="s">
        <v>519</v>
      </c>
      <c r="F227" s="2" t="s">
        <v>523</v>
      </c>
      <c r="G227" s="2">
        <v>20</v>
      </c>
      <c r="H227" s="2" t="s">
        <v>524</v>
      </c>
      <c r="I227" s="2">
        <v>170.32</v>
      </c>
    </row>
    <row r="228" spans="1:9" x14ac:dyDescent="0.3">
      <c r="A228" s="2" t="s">
        <v>235</v>
      </c>
      <c r="B228" s="2" t="s">
        <v>509</v>
      </c>
      <c r="C228" s="2">
        <v>459</v>
      </c>
      <c r="D228" s="2">
        <v>51</v>
      </c>
      <c r="E228" s="2" t="s">
        <v>517</v>
      </c>
      <c r="F228" s="2" t="s">
        <v>521</v>
      </c>
      <c r="G228" s="2">
        <v>13</v>
      </c>
      <c r="H228" s="2" t="s">
        <v>527</v>
      </c>
      <c r="I228" s="2">
        <v>185.81</v>
      </c>
    </row>
    <row r="229" spans="1:9" x14ac:dyDescent="0.3">
      <c r="A229" s="2" t="s">
        <v>236</v>
      </c>
      <c r="B229" s="2" t="s">
        <v>515</v>
      </c>
      <c r="C229" s="2">
        <v>382</v>
      </c>
      <c r="D229" s="2">
        <v>67</v>
      </c>
      <c r="E229" s="2" t="s">
        <v>519</v>
      </c>
      <c r="F229" s="2" t="s">
        <v>523</v>
      </c>
      <c r="G229" s="2">
        <v>7</v>
      </c>
      <c r="H229" s="2" t="s">
        <v>528</v>
      </c>
      <c r="I229" s="2">
        <v>48.29</v>
      </c>
    </row>
    <row r="230" spans="1:9" x14ac:dyDescent="0.3">
      <c r="A230" s="2" t="s">
        <v>237</v>
      </c>
      <c r="B230" s="2" t="s">
        <v>512</v>
      </c>
      <c r="C230" s="2">
        <v>377</v>
      </c>
      <c r="D230" s="2">
        <v>39</v>
      </c>
      <c r="E230" s="2" t="s">
        <v>517</v>
      </c>
      <c r="F230" s="2" t="s">
        <v>521</v>
      </c>
      <c r="G230" s="2">
        <v>20</v>
      </c>
      <c r="H230" s="2" t="s">
        <v>524</v>
      </c>
      <c r="I230" s="2">
        <v>24.68</v>
      </c>
    </row>
    <row r="231" spans="1:9" x14ac:dyDescent="0.3">
      <c r="A231" s="2" t="s">
        <v>238</v>
      </c>
      <c r="B231" s="2" t="s">
        <v>513</v>
      </c>
      <c r="C231" s="2">
        <v>184</v>
      </c>
      <c r="D231" s="2">
        <v>25</v>
      </c>
      <c r="E231" s="2" t="s">
        <v>516</v>
      </c>
      <c r="F231" s="2" t="s">
        <v>520</v>
      </c>
      <c r="G231" s="2">
        <v>21</v>
      </c>
      <c r="H231" s="2" t="s">
        <v>528</v>
      </c>
      <c r="I231" s="2">
        <v>34.01</v>
      </c>
    </row>
    <row r="232" spans="1:9" x14ac:dyDescent="0.3">
      <c r="A232" s="2" t="s">
        <v>239</v>
      </c>
      <c r="B232" s="2" t="s">
        <v>513</v>
      </c>
      <c r="C232" s="2">
        <v>453</v>
      </c>
      <c r="D232" s="2">
        <v>92</v>
      </c>
      <c r="E232" s="2" t="s">
        <v>518</v>
      </c>
      <c r="F232" s="2" t="s">
        <v>522</v>
      </c>
      <c r="G232" s="2">
        <v>4</v>
      </c>
      <c r="H232" s="2" t="s">
        <v>525</v>
      </c>
      <c r="I232" s="2">
        <v>4.3099999999999996</v>
      </c>
    </row>
    <row r="233" spans="1:9" x14ac:dyDescent="0.3">
      <c r="A233" s="2" t="s">
        <v>240</v>
      </c>
      <c r="B233" s="2" t="s">
        <v>509</v>
      </c>
      <c r="C233" s="2">
        <v>193</v>
      </c>
      <c r="D233" s="2">
        <v>43</v>
      </c>
      <c r="E233" s="2" t="s">
        <v>518</v>
      </c>
      <c r="F233" s="2" t="s">
        <v>522</v>
      </c>
      <c r="G233" s="2">
        <v>8</v>
      </c>
      <c r="H233" s="2" t="s">
        <v>526</v>
      </c>
      <c r="I233" s="2">
        <v>21.87</v>
      </c>
    </row>
    <row r="234" spans="1:9" x14ac:dyDescent="0.3">
      <c r="A234" s="2" t="s">
        <v>241</v>
      </c>
      <c r="B234" s="2" t="s">
        <v>511</v>
      </c>
      <c r="C234" s="2">
        <v>480</v>
      </c>
      <c r="D234" s="2">
        <v>24</v>
      </c>
      <c r="E234" s="2" t="s">
        <v>516</v>
      </c>
      <c r="F234" s="2" t="s">
        <v>520</v>
      </c>
      <c r="G234" s="2">
        <v>11</v>
      </c>
      <c r="H234" s="2" t="s">
        <v>524</v>
      </c>
      <c r="I234" s="2">
        <v>16.87</v>
      </c>
    </row>
    <row r="235" spans="1:9" x14ac:dyDescent="0.3">
      <c r="A235" s="2" t="s">
        <v>242</v>
      </c>
      <c r="B235" s="2" t="s">
        <v>512</v>
      </c>
      <c r="C235" s="2">
        <v>131</v>
      </c>
      <c r="D235" s="2">
        <v>63</v>
      </c>
      <c r="E235" s="2" t="s">
        <v>519</v>
      </c>
      <c r="F235" s="2" t="s">
        <v>523</v>
      </c>
      <c r="G235" s="2">
        <v>8</v>
      </c>
      <c r="H235" s="2" t="s">
        <v>525</v>
      </c>
      <c r="I235" s="2">
        <v>122.25</v>
      </c>
    </row>
    <row r="236" spans="1:9" x14ac:dyDescent="0.3">
      <c r="A236" s="2" t="s">
        <v>243</v>
      </c>
      <c r="B236" s="2" t="s">
        <v>511</v>
      </c>
      <c r="C236" s="2">
        <v>375</v>
      </c>
      <c r="D236" s="2">
        <v>28</v>
      </c>
      <c r="E236" s="2" t="s">
        <v>516</v>
      </c>
      <c r="F236" s="2" t="s">
        <v>520</v>
      </c>
      <c r="G236" s="2">
        <v>5</v>
      </c>
      <c r="H236" s="2" t="s">
        <v>525</v>
      </c>
      <c r="I236" s="2">
        <v>41.15</v>
      </c>
    </row>
    <row r="237" spans="1:9" x14ac:dyDescent="0.3">
      <c r="A237" s="2" t="s">
        <v>244</v>
      </c>
      <c r="B237" s="2" t="s">
        <v>509</v>
      </c>
      <c r="C237" s="2">
        <v>82</v>
      </c>
      <c r="D237" s="2">
        <v>81</v>
      </c>
      <c r="E237" s="2" t="s">
        <v>517</v>
      </c>
      <c r="F237" s="2" t="s">
        <v>521</v>
      </c>
      <c r="G237" s="2">
        <v>11</v>
      </c>
      <c r="H237" s="2" t="s">
        <v>525</v>
      </c>
      <c r="I237" s="2">
        <v>166.22</v>
      </c>
    </row>
    <row r="238" spans="1:9" x14ac:dyDescent="0.3">
      <c r="A238" s="2" t="s">
        <v>245</v>
      </c>
      <c r="B238" s="2" t="s">
        <v>511</v>
      </c>
      <c r="C238" s="2">
        <v>390</v>
      </c>
      <c r="D238" s="2">
        <v>79</v>
      </c>
      <c r="E238" s="2" t="s">
        <v>519</v>
      </c>
      <c r="F238" s="2" t="s">
        <v>523</v>
      </c>
      <c r="G238" s="2">
        <v>11</v>
      </c>
      <c r="H238" s="2" t="s">
        <v>526</v>
      </c>
      <c r="I238" s="2">
        <v>82.89</v>
      </c>
    </row>
    <row r="239" spans="1:9" x14ac:dyDescent="0.3">
      <c r="A239" s="2" t="s">
        <v>246</v>
      </c>
      <c r="B239" s="2" t="s">
        <v>511</v>
      </c>
      <c r="C239" s="2">
        <v>39</v>
      </c>
      <c r="D239" s="2">
        <v>54</v>
      </c>
      <c r="E239" s="2" t="s">
        <v>519</v>
      </c>
      <c r="F239" s="2" t="s">
        <v>523</v>
      </c>
      <c r="G239" s="2">
        <v>7</v>
      </c>
      <c r="H239" s="2" t="s">
        <v>527</v>
      </c>
      <c r="I239" s="2">
        <v>116.23</v>
      </c>
    </row>
    <row r="240" spans="1:9" x14ac:dyDescent="0.3">
      <c r="A240" s="2" t="s">
        <v>247</v>
      </c>
      <c r="B240" s="2" t="s">
        <v>515</v>
      </c>
      <c r="C240" s="2">
        <v>36</v>
      </c>
      <c r="D240" s="2">
        <v>75</v>
      </c>
      <c r="E240" s="2" t="s">
        <v>517</v>
      </c>
      <c r="F240" s="2" t="s">
        <v>521</v>
      </c>
      <c r="G240" s="2">
        <v>16</v>
      </c>
      <c r="H240" s="2" t="s">
        <v>525</v>
      </c>
      <c r="I240" s="2">
        <v>190.9</v>
      </c>
    </row>
    <row r="241" spans="1:9" x14ac:dyDescent="0.3">
      <c r="A241" s="2" t="s">
        <v>248</v>
      </c>
      <c r="B241" s="2" t="s">
        <v>514</v>
      </c>
      <c r="C241" s="2">
        <v>462</v>
      </c>
      <c r="D241" s="2">
        <v>31</v>
      </c>
      <c r="E241" s="2" t="s">
        <v>516</v>
      </c>
      <c r="F241" s="2" t="s">
        <v>520</v>
      </c>
      <c r="G241" s="2">
        <v>9</v>
      </c>
      <c r="H241" s="2" t="s">
        <v>524</v>
      </c>
      <c r="I241" s="2">
        <v>4.55</v>
      </c>
    </row>
    <row r="242" spans="1:9" x14ac:dyDescent="0.3">
      <c r="A242" s="2" t="s">
        <v>249</v>
      </c>
      <c r="B242" s="2" t="s">
        <v>510</v>
      </c>
      <c r="C242" s="2">
        <v>184</v>
      </c>
      <c r="D242" s="2">
        <v>70</v>
      </c>
      <c r="E242" s="2" t="s">
        <v>517</v>
      </c>
      <c r="F242" s="2" t="s">
        <v>521</v>
      </c>
      <c r="G242" s="2">
        <v>15</v>
      </c>
      <c r="H242" s="2" t="s">
        <v>525</v>
      </c>
      <c r="I242" s="2">
        <v>81.91</v>
      </c>
    </row>
    <row r="243" spans="1:9" x14ac:dyDescent="0.3">
      <c r="A243" s="2" t="s">
        <v>250</v>
      </c>
      <c r="B243" s="2" t="s">
        <v>512</v>
      </c>
      <c r="C243" s="2">
        <v>133</v>
      </c>
      <c r="D243" s="2">
        <v>82</v>
      </c>
      <c r="E243" s="2" t="s">
        <v>519</v>
      </c>
      <c r="F243" s="2" t="s">
        <v>523</v>
      </c>
      <c r="G243" s="2">
        <v>5</v>
      </c>
      <c r="H243" s="2" t="s">
        <v>528</v>
      </c>
      <c r="I243" s="2">
        <v>137.94999999999999</v>
      </c>
    </row>
    <row r="244" spans="1:9" x14ac:dyDescent="0.3">
      <c r="A244" s="2" t="s">
        <v>251</v>
      </c>
      <c r="B244" s="2" t="s">
        <v>512</v>
      </c>
      <c r="C244" s="2">
        <v>374</v>
      </c>
      <c r="D244" s="2">
        <v>43</v>
      </c>
      <c r="E244" s="2" t="s">
        <v>517</v>
      </c>
      <c r="F244" s="2" t="s">
        <v>521</v>
      </c>
      <c r="G244" s="2">
        <v>17</v>
      </c>
      <c r="H244" s="2" t="s">
        <v>524</v>
      </c>
      <c r="I244" s="2">
        <v>130.47</v>
      </c>
    </row>
    <row r="245" spans="1:9" x14ac:dyDescent="0.3">
      <c r="A245" s="2" t="s">
        <v>252</v>
      </c>
      <c r="B245" s="2" t="s">
        <v>512</v>
      </c>
      <c r="C245" s="2">
        <v>467</v>
      </c>
      <c r="D245" s="2">
        <v>40</v>
      </c>
      <c r="E245" s="2" t="s">
        <v>518</v>
      </c>
      <c r="F245" s="2" t="s">
        <v>522</v>
      </c>
      <c r="G245" s="2">
        <v>9</v>
      </c>
      <c r="H245" s="2" t="s">
        <v>526</v>
      </c>
      <c r="I245" s="2">
        <v>192.48</v>
      </c>
    </row>
    <row r="246" spans="1:9" x14ac:dyDescent="0.3">
      <c r="A246" s="2" t="s">
        <v>253</v>
      </c>
      <c r="B246" s="2" t="s">
        <v>515</v>
      </c>
      <c r="C246" s="2">
        <v>74</v>
      </c>
      <c r="D246" s="2">
        <v>60</v>
      </c>
      <c r="E246" s="2" t="s">
        <v>518</v>
      </c>
      <c r="F246" s="2" t="s">
        <v>522</v>
      </c>
      <c r="G246" s="2">
        <v>4</v>
      </c>
      <c r="H246" s="2" t="s">
        <v>528</v>
      </c>
      <c r="I246" s="2">
        <v>170.91</v>
      </c>
    </row>
    <row r="247" spans="1:9" x14ac:dyDescent="0.3">
      <c r="A247" s="2" t="s">
        <v>254</v>
      </c>
      <c r="B247" s="2" t="s">
        <v>512</v>
      </c>
      <c r="C247" s="2">
        <v>160</v>
      </c>
      <c r="D247" s="2">
        <v>36</v>
      </c>
      <c r="E247" s="2" t="s">
        <v>518</v>
      </c>
      <c r="F247" s="2" t="s">
        <v>522</v>
      </c>
      <c r="G247" s="2">
        <v>13</v>
      </c>
      <c r="H247" s="2" t="s">
        <v>525</v>
      </c>
      <c r="I247" s="2">
        <v>115.58</v>
      </c>
    </row>
    <row r="248" spans="1:9" x14ac:dyDescent="0.3">
      <c r="A248" s="2" t="s">
        <v>255</v>
      </c>
      <c r="B248" s="2" t="s">
        <v>515</v>
      </c>
      <c r="C248" s="2">
        <v>230</v>
      </c>
      <c r="D248" s="2">
        <v>68</v>
      </c>
      <c r="E248" s="2" t="s">
        <v>519</v>
      </c>
      <c r="F248" s="2" t="s">
        <v>523</v>
      </c>
      <c r="G248" s="2">
        <v>7</v>
      </c>
      <c r="H248" s="2" t="s">
        <v>526</v>
      </c>
      <c r="I248" s="2">
        <v>37.04</v>
      </c>
    </row>
    <row r="249" spans="1:9" x14ac:dyDescent="0.3">
      <c r="A249" s="2" t="s">
        <v>256</v>
      </c>
      <c r="B249" s="2" t="s">
        <v>512</v>
      </c>
      <c r="C249" s="2">
        <v>449</v>
      </c>
      <c r="D249" s="2">
        <v>47</v>
      </c>
      <c r="E249" s="2" t="s">
        <v>517</v>
      </c>
      <c r="F249" s="2" t="s">
        <v>521</v>
      </c>
      <c r="G249" s="2">
        <v>20</v>
      </c>
      <c r="H249" s="2" t="s">
        <v>527</v>
      </c>
      <c r="I249" s="2">
        <v>185.29</v>
      </c>
    </row>
    <row r="250" spans="1:9" x14ac:dyDescent="0.3">
      <c r="A250" s="2" t="s">
        <v>257</v>
      </c>
      <c r="B250" s="2" t="s">
        <v>510</v>
      </c>
      <c r="C250" s="2">
        <v>384</v>
      </c>
      <c r="D250" s="2">
        <v>29</v>
      </c>
      <c r="E250" s="2" t="s">
        <v>519</v>
      </c>
      <c r="F250" s="2" t="s">
        <v>523</v>
      </c>
      <c r="G250" s="2">
        <v>9</v>
      </c>
      <c r="H250" s="2" t="s">
        <v>524</v>
      </c>
      <c r="I250" s="2">
        <v>192.91</v>
      </c>
    </row>
    <row r="251" spans="1:9" x14ac:dyDescent="0.3">
      <c r="A251" s="2" t="s">
        <v>258</v>
      </c>
      <c r="B251" s="2" t="s">
        <v>510</v>
      </c>
      <c r="C251" s="2">
        <v>127</v>
      </c>
      <c r="D251" s="2">
        <v>70</v>
      </c>
      <c r="E251" s="2" t="s">
        <v>519</v>
      </c>
      <c r="F251" s="2" t="s">
        <v>523</v>
      </c>
      <c r="G251" s="2">
        <v>20</v>
      </c>
      <c r="H251" s="2" t="s">
        <v>526</v>
      </c>
      <c r="I251" s="2">
        <v>113.72</v>
      </c>
    </row>
    <row r="252" spans="1:9" x14ac:dyDescent="0.3">
      <c r="A252" s="2" t="s">
        <v>259</v>
      </c>
      <c r="B252" s="2" t="s">
        <v>515</v>
      </c>
      <c r="C252" s="2">
        <v>46</v>
      </c>
      <c r="D252" s="2">
        <v>29</v>
      </c>
      <c r="E252" s="2" t="s">
        <v>518</v>
      </c>
      <c r="F252" s="2" t="s">
        <v>522</v>
      </c>
      <c r="G252" s="2">
        <v>9</v>
      </c>
      <c r="H252" s="2" t="s">
        <v>527</v>
      </c>
      <c r="I252" s="2">
        <v>140.75</v>
      </c>
    </row>
    <row r="253" spans="1:9" x14ac:dyDescent="0.3">
      <c r="A253" s="2" t="s">
        <v>260</v>
      </c>
      <c r="B253" s="2" t="s">
        <v>513</v>
      </c>
      <c r="C253" s="2">
        <v>32</v>
      </c>
      <c r="D253" s="2">
        <v>76</v>
      </c>
      <c r="E253" s="2" t="s">
        <v>516</v>
      </c>
      <c r="F253" s="2" t="s">
        <v>520</v>
      </c>
      <c r="G253" s="2">
        <v>15</v>
      </c>
      <c r="H253" s="2" t="s">
        <v>526</v>
      </c>
      <c r="I253" s="2">
        <v>86.61</v>
      </c>
    </row>
    <row r="254" spans="1:9" x14ac:dyDescent="0.3">
      <c r="A254" s="2" t="s">
        <v>261</v>
      </c>
      <c r="B254" s="2" t="s">
        <v>513</v>
      </c>
      <c r="C254" s="2">
        <v>293</v>
      </c>
      <c r="D254" s="2">
        <v>89</v>
      </c>
      <c r="E254" s="2" t="s">
        <v>516</v>
      </c>
      <c r="F254" s="2" t="s">
        <v>520</v>
      </c>
      <c r="G254" s="2">
        <v>12</v>
      </c>
      <c r="H254" s="2" t="s">
        <v>528</v>
      </c>
      <c r="I254" s="2">
        <v>145.97</v>
      </c>
    </row>
    <row r="255" spans="1:9" x14ac:dyDescent="0.3">
      <c r="A255" s="2" t="s">
        <v>262</v>
      </c>
      <c r="B255" s="2" t="s">
        <v>509</v>
      </c>
      <c r="C255" s="2">
        <v>63</v>
      </c>
      <c r="D255" s="2">
        <v>35</v>
      </c>
      <c r="E255" s="2" t="s">
        <v>516</v>
      </c>
      <c r="F255" s="2" t="s">
        <v>520</v>
      </c>
      <c r="G255" s="2">
        <v>11</v>
      </c>
      <c r="H255" s="2" t="s">
        <v>528</v>
      </c>
      <c r="I255" s="2">
        <v>153.03</v>
      </c>
    </row>
    <row r="256" spans="1:9" x14ac:dyDescent="0.3">
      <c r="A256" s="2" t="s">
        <v>263</v>
      </c>
      <c r="B256" s="2" t="s">
        <v>512</v>
      </c>
      <c r="C256" s="2">
        <v>419</v>
      </c>
      <c r="D256" s="2">
        <v>23</v>
      </c>
      <c r="E256" s="2" t="s">
        <v>516</v>
      </c>
      <c r="F256" s="2" t="s">
        <v>520</v>
      </c>
      <c r="G256" s="2">
        <v>5</v>
      </c>
      <c r="H256" s="2" t="s">
        <v>526</v>
      </c>
      <c r="I256" s="2">
        <v>67.05</v>
      </c>
    </row>
    <row r="257" spans="1:9" x14ac:dyDescent="0.3">
      <c r="A257" s="2" t="s">
        <v>264</v>
      </c>
      <c r="B257" s="2" t="s">
        <v>515</v>
      </c>
      <c r="C257" s="2">
        <v>454</v>
      </c>
      <c r="D257" s="2">
        <v>85</v>
      </c>
      <c r="E257" s="2" t="s">
        <v>517</v>
      </c>
      <c r="F257" s="2" t="s">
        <v>521</v>
      </c>
      <c r="G257" s="2">
        <v>17</v>
      </c>
      <c r="H257" s="2" t="s">
        <v>527</v>
      </c>
      <c r="I257" s="2">
        <v>6.56</v>
      </c>
    </row>
    <row r="258" spans="1:9" x14ac:dyDescent="0.3">
      <c r="A258" s="2" t="s">
        <v>265</v>
      </c>
      <c r="B258" s="2" t="s">
        <v>509</v>
      </c>
      <c r="C258" s="2">
        <v>358</v>
      </c>
      <c r="D258" s="2">
        <v>96</v>
      </c>
      <c r="E258" s="2" t="s">
        <v>519</v>
      </c>
      <c r="F258" s="2" t="s">
        <v>523</v>
      </c>
      <c r="G258" s="2">
        <v>19</v>
      </c>
      <c r="H258" s="2" t="s">
        <v>528</v>
      </c>
      <c r="I258" s="2">
        <v>120.24</v>
      </c>
    </row>
    <row r="259" spans="1:9" x14ac:dyDescent="0.3">
      <c r="A259" s="2" t="s">
        <v>266</v>
      </c>
      <c r="B259" s="2" t="s">
        <v>514</v>
      </c>
      <c r="C259" s="2">
        <v>124</v>
      </c>
      <c r="D259" s="2">
        <v>65</v>
      </c>
      <c r="E259" s="2" t="s">
        <v>519</v>
      </c>
      <c r="F259" s="2" t="s">
        <v>523</v>
      </c>
      <c r="G259" s="2">
        <v>5</v>
      </c>
      <c r="H259" s="2" t="s">
        <v>527</v>
      </c>
      <c r="I259" s="2">
        <v>90.8</v>
      </c>
    </row>
    <row r="260" spans="1:9" x14ac:dyDescent="0.3">
      <c r="A260" s="2" t="s">
        <v>267</v>
      </c>
      <c r="B260" s="2" t="s">
        <v>514</v>
      </c>
      <c r="C260" s="2">
        <v>117</v>
      </c>
      <c r="D260" s="2">
        <v>41</v>
      </c>
      <c r="E260" s="2" t="s">
        <v>519</v>
      </c>
      <c r="F260" s="2" t="s">
        <v>523</v>
      </c>
      <c r="G260" s="2">
        <v>18</v>
      </c>
      <c r="H260" s="2" t="s">
        <v>527</v>
      </c>
      <c r="I260" s="2">
        <v>22.58</v>
      </c>
    </row>
    <row r="261" spans="1:9" x14ac:dyDescent="0.3">
      <c r="A261" s="2" t="s">
        <v>268</v>
      </c>
      <c r="B261" s="2" t="s">
        <v>515</v>
      </c>
      <c r="C261" s="2">
        <v>418</v>
      </c>
      <c r="D261" s="2">
        <v>67</v>
      </c>
      <c r="E261" s="2" t="s">
        <v>516</v>
      </c>
      <c r="F261" s="2" t="s">
        <v>520</v>
      </c>
      <c r="G261" s="2">
        <v>8</v>
      </c>
      <c r="H261" s="2" t="s">
        <v>524</v>
      </c>
      <c r="I261" s="2">
        <v>119.78</v>
      </c>
    </row>
    <row r="262" spans="1:9" x14ac:dyDescent="0.3">
      <c r="A262" s="2" t="s">
        <v>269</v>
      </c>
      <c r="B262" s="2" t="s">
        <v>509</v>
      </c>
      <c r="C262" s="2">
        <v>391</v>
      </c>
      <c r="D262" s="2">
        <v>56</v>
      </c>
      <c r="E262" s="2" t="s">
        <v>518</v>
      </c>
      <c r="F262" s="2" t="s">
        <v>522</v>
      </c>
      <c r="G262" s="2">
        <v>18</v>
      </c>
      <c r="H262" s="2" t="s">
        <v>524</v>
      </c>
      <c r="I262" s="2">
        <v>168.98</v>
      </c>
    </row>
    <row r="263" spans="1:9" x14ac:dyDescent="0.3">
      <c r="A263" s="2" t="s">
        <v>270</v>
      </c>
      <c r="B263" s="2" t="s">
        <v>512</v>
      </c>
      <c r="C263" s="2">
        <v>268</v>
      </c>
      <c r="D263" s="2">
        <v>35</v>
      </c>
      <c r="E263" s="2" t="s">
        <v>518</v>
      </c>
      <c r="F263" s="2" t="s">
        <v>522</v>
      </c>
      <c r="G263" s="2">
        <v>6</v>
      </c>
      <c r="H263" s="2" t="s">
        <v>527</v>
      </c>
      <c r="I263" s="2">
        <v>34.090000000000003</v>
      </c>
    </row>
    <row r="264" spans="1:9" x14ac:dyDescent="0.3">
      <c r="A264" s="2" t="s">
        <v>271</v>
      </c>
      <c r="B264" s="2" t="s">
        <v>510</v>
      </c>
      <c r="C264" s="2">
        <v>234</v>
      </c>
      <c r="D264" s="2">
        <v>63</v>
      </c>
      <c r="E264" s="2" t="s">
        <v>518</v>
      </c>
      <c r="F264" s="2" t="s">
        <v>522</v>
      </c>
      <c r="G264" s="2">
        <v>18</v>
      </c>
      <c r="H264" s="2" t="s">
        <v>525</v>
      </c>
      <c r="I264" s="2">
        <v>192.28</v>
      </c>
    </row>
    <row r="265" spans="1:9" x14ac:dyDescent="0.3">
      <c r="A265" s="2" t="s">
        <v>272</v>
      </c>
      <c r="B265" s="2" t="s">
        <v>513</v>
      </c>
      <c r="C265" s="2">
        <v>498</v>
      </c>
      <c r="D265" s="2">
        <v>67</v>
      </c>
      <c r="E265" s="2" t="s">
        <v>517</v>
      </c>
      <c r="F265" s="2" t="s">
        <v>521</v>
      </c>
      <c r="G265" s="2">
        <v>5</v>
      </c>
      <c r="H265" s="2" t="s">
        <v>527</v>
      </c>
      <c r="I265" s="2">
        <v>137.19999999999999</v>
      </c>
    </row>
    <row r="266" spans="1:9" x14ac:dyDescent="0.3">
      <c r="A266" s="2" t="s">
        <v>273</v>
      </c>
      <c r="B266" s="2" t="s">
        <v>511</v>
      </c>
      <c r="C266" s="2">
        <v>427</v>
      </c>
      <c r="D266" s="2">
        <v>46</v>
      </c>
      <c r="E266" s="2" t="s">
        <v>517</v>
      </c>
      <c r="F266" s="2" t="s">
        <v>521</v>
      </c>
      <c r="G266" s="2">
        <v>3</v>
      </c>
      <c r="H266" s="2" t="s">
        <v>525</v>
      </c>
      <c r="I266" s="2">
        <v>106.82</v>
      </c>
    </row>
    <row r="267" spans="1:9" x14ac:dyDescent="0.3">
      <c r="A267" s="2" t="s">
        <v>274</v>
      </c>
      <c r="B267" s="2" t="s">
        <v>513</v>
      </c>
      <c r="C267" s="2">
        <v>88</v>
      </c>
      <c r="D267" s="2">
        <v>99</v>
      </c>
      <c r="E267" s="2" t="s">
        <v>516</v>
      </c>
      <c r="F267" s="2" t="s">
        <v>520</v>
      </c>
      <c r="G267" s="2">
        <v>17</v>
      </c>
      <c r="H267" s="2" t="s">
        <v>525</v>
      </c>
      <c r="I267" s="2">
        <v>99.75</v>
      </c>
    </row>
    <row r="268" spans="1:9" x14ac:dyDescent="0.3">
      <c r="A268" s="2" t="s">
        <v>275</v>
      </c>
      <c r="B268" s="2" t="s">
        <v>510</v>
      </c>
      <c r="C268" s="2">
        <v>229</v>
      </c>
      <c r="D268" s="2">
        <v>56</v>
      </c>
      <c r="E268" s="2" t="s">
        <v>519</v>
      </c>
      <c r="F268" s="2" t="s">
        <v>523</v>
      </c>
      <c r="G268" s="2">
        <v>19</v>
      </c>
      <c r="H268" s="2" t="s">
        <v>524</v>
      </c>
      <c r="I268" s="2">
        <v>162.96</v>
      </c>
    </row>
    <row r="269" spans="1:9" x14ac:dyDescent="0.3">
      <c r="A269" s="2" t="s">
        <v>276</v>
      </c>
      <c r="B269" s="2" t="s">
        <v>512</v>
      </c>
      <c r="C269" s="2">
        <v>6</v>
      </c>
      <c r="D269" s="2">
        <v>99</v>
      </c>
      <c r="E269" s="2" t="s">
        <v>518</v>
      </c>
      <c r="F269" s="2" t="s">
        <v>522</v>
      </c>
      <c r="G269" s="2">
        <v>16</v>
      </c>
      <c r="H269" s="2" t="s">
        <v>526</v>
      </c>
      <c r="I269" s="2">
        <v>69.52</v>
      </c>
    </row>
    <row r="270" spans="1:9" x14ac:dyDescent="0.3">
      <c r="A270" s="2" t="s">
        <v>277</v>
      </c>
      <c r="B270" s="2" t="s">
        <v>509</v>
      </c>
      <c r="C270" s="2">
        <v>33</v>
      </c>
      <c r="D270" s="2">
        <v>39</v>
      </c>
      <c r="E270" s="2" t="s">
        <v>516</v>
      </c>
      <c r="F270" s="2" t="s">
        <v>520</v>
      </c>
      <c r="G270" s="2">
        <v>4</v>
      </c>
      <c r="H270" s="2" t="s">
        <v>524</v>
      </c>
      <c r="I270" s="2">
        <v>89.01</v>
      </c>
    </row>
    <row r="271" spans="1:9" x14ac:dyDescent="0.3">
      <c r="A271" s="2" t="s">
        <v>278</v>
      </c>
      <c r="B271" s="2" t="s">
        <v>512</v>
      </c>
      <c r="C271" s="2">
        <v>25</v>
      </c>
      <c r="D271" s="2">
        <v>96</v>
      </c>
      <c r="E271" s="2" t="s">
        <v>516</v>
      </c>
      <c r="F271" s="2" t="s">
        <v>520</v>
      </c>
      <c r="G271" s="2">
        <v>12</v>
      </c>
      <c r="H271" s="2" t="s">
        <v>527</v>
      </c>
      <c r="I271" s="2">
        <v>169.69</v>
      </c>
    </row>
    <row r="272" spans="1:9" x14ac:dyDescent="0.3">
      <c r="A272" s="2" t="s">
        <v>279</v>
      </c>
      <c r="B272" s="2" t="s">
        <v>513</v>
      </c>
      <c r="C272" s="2">
        <v>461</v>
      </c>
      <c r="D272" s="2">
        <v>94</v>
      </c>
      <c r="E272" s="2" t="s">
        <v>517</v>
      </c>
      <c r="F272" s="2" t="s">
        <v>521</v>
      </c>
      <c r="G272" s="2">
        <v>12</v>
      </c>
      <c r="H272" s="2" t="s">
        <v>527</v>
      </c>
      <c r="I272" s="2">
        <v>154.96</v>
      </c>
    </row>
    <row r="273" spans="1:9" x14ac:dyDescent="0.3">
      <c r="A273" s="2" t="s">
        <v>280</v>
      </c>
      <c r="B273" s="2" t="s">
        <v>511</v>
      </c>
      <c r="C273" s="2">
        <v>478</v>
      </c>
      <c r="D273" s="2">
        <v>54</v>
      </c>
      <c r="E273" s="2" t="s">
        <v>519</v>
      </c>
      <c r="F273" s="2" t="s">
        <v>523</v>
      </c>
      <c r="G273" s="2">
        <v>11</v>
      </c>
      <c r="H273" s="2" t="s">
        <v>526</v>
      </c>
      <c r="I273" s="2">
        <v>52.86</v>
      </c>
    </row>
    <row r="274" spans="1:9" x14ac:dyDescent="0.3">
      <c r="A274" s="2" t="s">
        <v>281</v>
      </c>
      <c r="B274" s="2" t="s">
        <v>510</v>
      </c>
      <c r="C274" s="2">
        <v>26</v>
      </c>
      <c r="D274" s="2">
        <v>51</v>
      </c>
      <c r="E274" s="2" t="s">
        <v>519</v>
      </c>
      <c r="F274" s="2" t="s">
        <v>523</v>
      </c>
      <c r="G274" s="2">
        <v>16</v>
      </c>
      <c r="H274" s="2" t="s">
        <v>524</v>
      </c>
      <c r="I274" s="2">
        <v>130.44999999999999</v>
      </c>
    </row>
    <row r="275" spans="1:9" x14ac:dyDescent="0.3">
      <c r="A275" s="2" t="s">
        <v>282</v>
      </c>
      <c r="B275" s="2" t="s">
        <v>514</v>
      </c>
      <c r="C275" s="2">
        <v>230</v>
      </c>
      <c r="D275" s="2">
        <v>68</v>
      </c>
      <c r="E275" s="2" t="s">
        <v>519</v>
      </c>
      <c r="F275" s="2" t="s">
        <v>523</v>
      </c>
      <c r="G275" s="2">
        <v>17</v>
      </c>
      <c r="H275" s="2" t="s">
        <v>526</v>
      </c>
      <c r="I275" s="2">
        <v>3.04</v>
      </c>
    </row>
    <row r="276" spans="1:9" x14ac:dyDescent="0.3">
      <c r="A276" s="2" t="s">
        <v>283</v>
      </c>
      <c r="B276" s="2" t="s">
        <v>512</v>
      </c>
      <c r="C276" s="2">
        <v>495</v>
      </c>
      <c r="D276" s="2">
        <v>27</v>
      </c>
      <c r="E276" s="2" t="s">
        <v>516</v>
      </c>
      <c r="F276" s="2" t="s">
        <v>520</v>
      </c>
      <c r="G276" s="2">
        <v>13</v>
      </c>
      <c r="H276" s="2" t="s">
        <v>527</v>
      </c>
      <c r="I276" s="2">
        <v>5.04</v>
      </c>
    </row>
    <row r="277" spans="1:9" x14ac:dyDescent="0.3">
      <c r="A277" s="2" t="s">
        <v>284</v>
      </c>
      <c r="B277" s="2" t="s">
        <v>512</v>
      </c>
      <c r="C277" s="2">
        <v>67</v>
      </c>
      <c r="D277" s="2">
        <v>65</v>
      </c>
      <c r="E277" s="2" t="s">
        <v>519</v>
      </c>
      <c r="F277" s="2" t="s">
        <v>523</v>
      </c>
      <c r="G277" s="2">
        <v>12</v>
      </c>
      <c r="H277" s="2" t="s">
        <v>525</v>
      </c>
      <c r="I277" s="2">
        <v>155.16</v>
      </c>
    </row>
    <row r="278" spans="1:9" x14ac:dyDescent="0.3">
      <c r="A278" s="2" t="s">
        <v>285</v>
      </c>
      <c r="B278" s="2" t="s">
        <v>514</v>
      </c>
      <c r="C278" s="2">
        <v>23</v>
      </c>
      <c r="D278" s="2">
        <v>66</v>
      </c>
      <c r="E278" s="2" t="s">
        <v>517</v>
      </c>
      <c r="F278" s="2" t="s">
        <v>521</v>
      </c>
      <c r="G278" s="2">
        <v>3</v>
      </c>
      <c r="H278" s="2" t="s">
        <v>528</v>
      </c>
      <c r="I278" s="2">
        <v>126.67</v>
      </c>
    </row>
    <row r="279" spans="1:9" x14ac:dyDescent="0.3">
      <c r="A279" s="2" t="s">
        <v>286</v>
      </c>
      <c r="B279" s="2" t="s">
        <v>509</v>
      </c>
      <c r="C279" s="2">
        <v>425</v>
      </c>
      <c r="D279" s="2">
        <v>78</v>
      </c>
      <c r="E279" s="2" t="s">
        <v>518</v>
      </c>
      <c r="F279" s="2" t="s">
        <v>522</v>
      </c>
      <c r="G279" s="2">
        <v>10</v>
      </c>
      <c r="H279" s="2" t="s">
        <v>526</v>
      </c>
      <c r="I279" s="2">
        <v>184.33</v>
      </c>
    </row>
    <row r="280" spans="1:9" x14ac:dyDescent="0.3">
      <c r="A280" s="2" t="s">
        <v>287</v>
      </c>
      <c r="B280" s="2" t="s">
        <v>510</v>
      </c>
      <c r="C280" s="2">
        <v>172</v>
      </c>
      <c r="D280" s="2">
        <v>62</v>
      </c>
      <c r="E280" s="2" t="s">
        <v>518</v>
      </c>
      <c r="F280" s="2" t="s">
        <v>522</v>
      </c>
      <c r="G280" s="2">
        <v>15</v>
      </c>
      <c r="H280" s="2" t="s">
        <v>527</v>
      </c>
      <c r="I280" s="2">
        <v>42.52</v>
      </c>
    </row>
    <row r="281" spans="1:9" x14ac:dyDescent="0.3">
      <c r="A281" s="2" t="s">
        <v>288</v>
      </c>
      <c r="B281" s="2" t="s">
        <v>509</v>
      </c>
      <c r="C281" s="2">
        <v>364</v>
      </c>
      <c r="D281" s="2">
        <v>50</v>
      </c>
      <c r="E281" s="2" t="s">
        <v>517</v>
      </c>
      <c r="F281" s="2" t="s">
        <v>521</v>
      </c>
      <c r="G281" s="2">
        <v>11</v>
      </c>
      <c r="H281" s="2" t="s">
        <v>528</v>
      </c>
      <c r="I281" s="2">
        <v>165.7</v>
      </c>
    </row>
    <row r="282" spans="1:9" x14ac:dyDescent="0.3">
      <c r="A282" s="2" t="s">
        <v>289</v>
      </c>
      <c r="B282" s="2" t="s">
        <v>511</v>
      </c>
      <c r="C282" s="2">
        <v>291</v>
      </c>
      <c r="D282" s="2">
        <v>44</v>
      </c>
      <c r="E282" s="2" t="s">
        <v>516</v>
      </c>
      <c r="F282" s="2" t="s">
        <v>520</v>
      </c>
      <c r="G282" s="2">
        <v>21</v>
      </c>
      <c r="H282" s="2" t="s">
        <v>526</v>
      </c>
      <c r="I282" s="2">
        <v>161.43</v>
      </c>
    </row>
    <row r="283" spans="1:9" x14ac:dyDescent="0.3">
      <c r="A283" s="2" t="s">
        <v>290</v>
      </c>
      <c r="B283" s="2" t="s">
        <v>510</v>
      </c>
      <c r="C283" s="2">
        <v>220</v>
      </c>
      <c r="D283" s="2">
        <v>36</v>
      </c>
      <c r="E283" s="2" t="s">
        <v>519</v>
      </c>
      <c r="F283" s="2" t="s">
        <v>523</v>
      </c>
      <c r="G283" s="2">
        <v>15</v>
      </c>
      <c r="H283" s="2" t="s">
        <v>527</v>
      </c>
      <c r="I283" s="2">
        <v>126.97</v>
      </c>
    </row>
    <row r="284" spans="1:9" x14ac:dyDescent="0.3">
      <c r="A284" s="2" t="s">
        <v>291</v>
      </c>
      <c r="B284" s="2" t="s">
        <v>510</v>
      </c>
      <c r="C284" s="2">
        <v>275</v>
      </c>
      <c r="D284" s="2">
        <v>38</v>
      </c>
      <c r="E284" s="2" t="s">
        <v>517</v>
      </c>
      <c r="F284" s="2" t="s">
        <v>521</v>
      </c>
      <c r="G284" s="2">
        <v>21</v>
      </c>
      <c r="H284" s="2" t="s">
        <v>524</v>
      </c>
      <c r="I284" s="2">
        <v>87.66</v>
      </c>
    </row>
    <row r="285" spans="1:9" x14ac:dyDescent="0.3">
      <c r="A285" s="2" t="s">
        <v>292</v>
      </c>
      <c r="B285" s="2" t="s">
        <v>515</v>
      </c>
      <c r="C285" s="2">
        <v>101</v>
      </c>
      <c r="D285" s="2">
        <v>81</v>
      </c>
      <c r="E285" s="2" t="s">
        <v>517</v>
      </c>
      <c r="F285" s="2" t="s">
        <v>521</v>
      </c>
      <c r="G285" s="2">
        <v>6</v>
      </c>
      <c r="H285" s="2" t="s">
        <v>528</v>
      </c>
      <c r="I285" s="2">
        <v>53.16</v>
      </c>
    </row>
    <row r="286" spans="1:9" x14ac:dyDescent="0.3">
      <c r="A286" s="2" t="s">
        <v>293</v>
      </c>
      <c r="B286" s="2" t="s">
        <v>511</v>
      </c>
      <c r="C286" s="2">
        <v>19</v>
      </c>
      <c r="D286" s="2">
        <v>100</v>
      </c>
      <c r="E286" s="2" t="s">
        <v>519</v>
      </c>
      <c r="F286" s="2" t="s">
        <v>523</v>
      </c>
      <c r="G286" s="2">
        <v>11</v>
      </c>
      <c r="H286" s="2" t="s">
        <v>527</v>
      </c>
      <c r="I286" s="2">
        <v>172.82</v>
      </c>
    </row>
    <row r="287" spans="1:9" x14ac:dyDescent="0.3">
      <c r="A287" s="2" t="s">
        <v>294</v>
      </c>
      <c r="B287" s="2" t="s">
        <v>511</v>
      </c>
      <c r="C287" s="2">
        <v>294</v>
      </c>
      <c r="D287" s="2">
        <v>78</v>
      </c>
      <c r="E287" s="2" t="s">
        <v>519</v>
      </c>
      <c r="F287" s="2" t="s">
        <v>523</v>
      </c>
      <c r="G287" s="2">
        <v>13</v>
      </c>
      <c r="H287" s="2" t="s">
        <v>525</v>
      </c>
      <c r="I287" s="2">
        <v>87.86</v>
      </c>
    </row>
    <row r="288" spans="1:9" x14ac:dyDescent="0.3">
      <c r="A288" s="2" t="s">
        <v>295</v>
      </c>
      <c r="B288" s="2" t="s">
        <v>509</v>
      </c>
      <c r="C288" s="2">
        <v>217</v>
      </c>
      <c r="D288" s="2">
        <v>20</v>
      </c>
      <c r="E288" s="2" t="s">
        <v>519</v>
      </c>
      <c r="F288" s="2" t="s">
        <v>523</v>
      </c>
      <c r="G288" s="2">
        <v>17</v>
      </c>
      <c r="H288" s="2" t="s">
        <v>526</v>
      </c>
      <c r="I288" s="2">
        <v>21.52</v>
      </c>
    </row>
    <row r="289" spans="1:9" x14ac:dyDescent="0.3">
      <c r="A289" s="2" t="s">
        <v>296</v>
      </c>
      <c r="B289" s="2" t="s">
        <v>514</v>
      </c>
      <c r="C289" s="2">
        <v>368</v>
      </c>
      <c r="D289" s="2">
        <v>59</v>
      </c>
      <c r="E289" s="2" t="s">
        <v>516</v>
      </c>
      <c r="F289" s="2" t="s">
        <v>520</v>
      </c>
      <c r="G289" s="2">
        <v>11</v>
      </c>
      <c r="H289" s="2" t="s">
        <v>527</v>
      </c>
      <c r="I289" s="2">
        <v>80.069999999999993</v>
      </c>
    </row>
    <row r="290" spans="1:9" x14ac:dyDescent="0.3">
      <c r="A290" s="2" t="s">
        <v>297</v>
      </c>
      <c r="B290" s="2" t="s">
        <v>512</v>
      </c>
      <c r="C290" s="2">
        <v>486</v>
      </c>
      <c r="D290" s="2">
        <v>34</v>
      </c>
      <c r="E290" s="2" t="s">
        <v>517</v>
      </c>
      <c r="F290" s="2" t="s">
        <v>521</v>
      </c>
      <c r="G290" s="2">
        <v>12</v>
      </c>
      <c r="H290" s="2" t="s">
        <v>524</v>
      </c>
      <c r="I290" s="2">
        <v>85.9</v>
      </c>
    </row>
    <row r="291" spans="1:9" x14ac:dyDescent="0.3">
      <c r="A291" s="2" t="s">
        <v>298</v>
      </c>
      <c r="B291" s="2" t="s">
        <v>511</v>
      </c>
      <c r="C291" s="2">
        <v>96</v>
      </c>
      <c r="D291" s="2">
        <v>44</v>
      </c>
      <c r="E291" s="2" t="s">
        <v>519</v>
      </c>
      <c r="F291" s="2" t="s">
        <v>523</v>
      </c>
      <c r="G291" s="2">
        <v>15</v>
      </c>
      <c r="H291" s="2" t="s">
        <v>527</v>
      </c>
      <c r="I291" s="2">
        <v>86.87</v>
      </c>
    </row>
    <row r="292" spans="1:9" x14ac:dyDescent="0.3">
      <c r="A292" s="2" t="s">
        <v>299</v>
      </c>
      <c r="B292" s="2" t="s">
        <v>514</v>
      </c>
      <c r="C292" s="2">
        <v>100</v>
      </c>
      <c r="D292" s="2">
        <v>87</v>
      </c>
      <c r="E292" s="2" t="s">
        <v>517</v>
      </c>
      <c r="F292" s="2" t="s">
        <v>521</v>
      </c>
      <c r="G292" s="2">
        <v>15</v>
      </c>
      <c r="H292" s="2" t="s">
        <v>524</v>
      </c>
      <c r="I292" s="2">
        <v>145.15</v>
      </c>
    </row>
    <row r="293" spans="1:9" x14ac:dyDescent="0.3">
      <c r="A293" s="2" t="s">
        <v>300</v>
      </c>
      <c r="B293" s="2" t="s">
        <v>513</v>
      </c>
      <c r="C293" s="2">
        <v>286</v>
      </c>
      <c r="D293" s="2">
        <v>70</v>
      </c>
      <c r="E293" s="2" t="s">
        <v>519</v>
      </c>
      <c r="F293" s="2" t="s">
        <v>523</v>
      </c>
      <c r="G293" s="2">
        <v>9</v>
      </c>
      <c r="H293" s="2" t="s">
        <v>526</v>
      </c>
      <c r="I293" s="2">
        <v>94.73</v>
      </c>
    </row>
    <row r="294" spans="1:9" x14ac:dyDescent="0.3">
      <c r="A294" s="2" t="s">
        <v>301</v>
      </c>
      <c r="B294" s="2" t="s">
        <v>510</v>
      </c>
      <c r="C294" s="2">
        <v>282</v>
      </c>
      <c r="D294" s="2">
        <v>74</v>
      </c>
      <c r="E294" s="2" t="s">
        <v>518</v>
      </c>
      <c r="F294" s="2" t="s">
        <v>522</v>
      </c>
      <c r="G294" s="2">
        <v>6</v>
      </c>
      <c r="H294" s="2" t="s">
        <v>528</v>
      </c>
      <c r="I294" s="2">
        <v>26.62</v>
      </c>
    </row>
    <row r="295" spans="1:9" x14ac:dyDescent="0.3">
      <c r="A295" s="2" t="s">
        <v>302</v>
      </c>
      <c r="B295" s="2" t="s">
        <v>509</v>
      </c>
      <c r="C295" s="2">
        <v>407</v>
      </c>
      <c r="D295" s="2">
        <v>97</v>
      </c>
      <c r="E295" s="2" t="s">
        <v>516</v>
      </c>
      <c r="F295" s="2" t="s">
        <v>520</v>
      </c>
      <c r="G295" s="2">
        <v>4</v>
      </c>
      <c r="H295" s="2" t="s">
        <v>528</v>
      </c>
      <c r="I295" s="2">
        <v>33.81</v>
      </c>
    </row>
    <row r="296" spans="1:9" x14ac:dyDescent="0.3">
      <c r="A296" s="2" t="s">
        <v>303</v>
      </c>
      <c r="B296" s="2" t="s">
        <v>513</v>
      </c>
      <c r="C296" s="2">
        <v>248</v>
      </c>
      <c r="D296" s="2">
        <v>71</v>
      </c>
      <c r="E296" s="2" t="s">
        <v>517</v>
      </c>
      <c r="F296" s="2" t="s">
        <v>521</v>
      </c>
      <c r="G296" s="2">
        <v>15</v>
      </c>
      <c r="H296" s="2" t="s">
        <v>528</v>
      </c>
      <c r="I296" s="2">
        <v>13.94</v>
      </c>
    </row>
    <row r="297" spans="1:9" x14ac:dyDescent="0.3">
      <c r="A297" s="2" t="s">
        <v>304</v>
      </c>
      <c r="B297" s="2" t="s">
        <v>513</v>
      </c>
      <c r="C297" s="2">
        <v>285</v>
      </c>
      <c r="D297" s="2">
        <v>47</v>
      </c>
      <c r="E297" s="2" t="s">
        <v>517</v>
      </c>
      <c r="F297" s="2" t="s">
        <v>521</v>
      </c>
      <c r="G297" s="2">
        <v>17</v>
      </c>
      <c r="H297" s="2" t="s">
        <v>524</v>
      </c>
      <c r="I297" s="2">
        <v>55.89</v>
      </c>
    </row>
    <row r="298" spans="1:9" x14ac:dyDescent="0.3">
      <c r="A298" s="2" t="s">
        <v>305</v>
      </c>
      <c r="B298" s="2" t="s">
        <v>510</v>
      </c>
      <c r="C298" s="2">
        <v>227</v>
      </c>
      <c r="D298" s="2">
        <v>59</v>
      </c>
      <c r="E298" s="2" t="s">
        <v>519</v>
      </c>
      <c r="F298" s="2" t="s">
        <v>523</v>
      </c>
      <c r="G298" s="2">
        <v>4</v>
      </c>
      <c r="H298" s="2" t="s">
        <v>528</v>
      </c>
      <c r="I298" s="2">
        <v>146.75</v>
      </c>
    </row>
    <row r="299" spans="1:9" x14ac:dyDescent="0.3">
      <c r="A299" s="2" t="s">
        <v>306</v>
      </c>
      <c r="B299" s="2" t="s">
        <v>513</v>
      </c>
      <c r="C299" s="2">
        <v>430</v>
      </c>
      <c r="D299" s="2">
        <v>31</v>
      </c>
      <c r="E299" s="2" t="s">
        <v>516</v>
      </c>
      <c r="F299" s="2" t="s">
        <v>520</v>
      </c>
      <c r="G299" s="2">
        <v>14</v>
      </c>
      <c r="H299" s="2" t="s">
        <v>528</v>
      </c>
      <c r="I299" s="2">
        <v>83.2</v>
      </c>
    </row>
    <row r="300" spans="1:9" x14ac:dyDescent="0.3">
      <c r="A300" s="2" t="s">
        <v>307</v>
      </c>
      <c r="B300" s="2" t="s">
        <v>513</v>
      </c>
      <c r="C300" s="2">
        <v>495</v>
      </c>
      <c r="D300" s="2">
        <v>91</v>
      </c>
      <c r="E300" s="2" t="s">
        <v>516</v>
      </c>
      <c r="F300" s="2" t="s">
        <v>520</v>
      </c>
      <c r="G300" s="2">
        <v>7</v>
      </c>
      <c r="H300" s="2" t="s">
        <v>526</v>
      </c>
      <c r="I300" s="2">
        <v>56.63</v>
      </c>
    </row>
    <row r="301" spans="1:9" x14ac:dyDescent="0.3">
      <c r="A301" s="2" t="s">
        <v>308</v>
      </c>
      <c r="B301" s="2" t="s">
        <v>510</v>
      </c>
      <c r="C301" s="2">
        <v>50</v>
      </c>
      <c r="D301" s="2">
        <v>47</v>
      </c>
      <c r="E301" s="2" t="s">
        <v>516</v>
      </c>
      <c r="F301" s="2" t="s">
        <v>520</v>
      </c>
      <c r="G301" s="2">
        <v>13</v>
      </c>
      <c r="H301" s="2" t="s">
        <v>526</v>
      </c>
      <c r="I301" s="2">
        <v>175.1</v>
      </c>
    </row>
    <row r="302" spans="1:9" x14ac:dyDescent="0.3">
      <c r="A302" s="2" t="s">
        <v>309</v>
      </c>
      <c r="B302" s="2" t="s">
        <v>513</v>
      </c>
      <c r="C302" s="2">
        <v>356</v>
      </c>
      <c r="D302" s="2">
        <v>29</v>
      </c>
      <c r="E302" s="2" t="s">
        <v>516</v>
      </c>
      <c r="F302" s="2" t="s">
        <v>520</v>
      </c>
      <c r="G302" s="2">
        <v>11</v>
      </c>
      <c r="H302" s="2" t="s">
        <v>524</v>
      </c>
      <c r="I302" s="2">
        <v>171.48</v>
      </c>
    </row>
    <row r="303" spans="1:9" x14ac:dyDescent="0.3">
      <c r="A303" s="2" t="s">
        <v>310</v>
      </c>
      <c r="B303" s="2" t="s">
        <v>515</v>
      </c>
      <c r="C303" s="2">
        <v>115</v>
      </c>
      <c r="D303" s="2">
        <v>32</v>
      </c>
      <c r="E303" s="2" t="s">
        <v>519</v>
      </c>
      <c r="F303" s="2" t="s">
        <v>523</v>
      </c>
      <c r="G303" s="2">
        <v>21</v>
      </c>
      <c r="H303" s="2" t="s">
        <v>524</v>
      </c>
      <c r="I303" s="2">
        <v>187.89</v>
      </c>
    </row>
    <row r="304" spans="1:9" x14ac:dyDescent="0.3">
      <c r="A304" s="2" t="s">
        <v>311</v>
      </c>
      <c r="B304" s="2" t="s">
        <v>512</v>
      </c>
      <c r="C304" s="2">
        <v>307</v>
      </c>
      <c r="D304" s="2">
        <v>29</v>
      </c>
      <c r="E304" s="2" t="s">
        <v>519</v>
      </c>
      <c r="F304" s="2" t="s">
        <v>523</v>
      </c>
      <c r="G304" s="2">
        <v>7</v>
      </c>
      <c r="H304" s="2" t="s">
        <v>524</v>
      </c>
      <c r="I304" s="2">
        <v>27.86</v>
      </c>
    </row>
    <row r="305" spans="1:9" x14ac:dyDescent="0.3">
      <c r="A305" s="2" t="s">
        <v>312</v>
      </c>
      <c r="B305" s="2" t="s">
        <v>511</v>
      </c>
      <c r="C305" s="2">
        <v>469</v>
      </c>
      <c r="D305" s="2">
        <v>45</v>
      </c>
      <c r="E305" s="2" t="s">
        <v>516</v>
      </c>
      <c r="F305" s="2" t="s">
        <v>520</v>
      </c>
      <c r="G305" s="2">
        <v>18</v>
      </c>
      <c r="H305" s="2" t="s">
        <v>524</v>
      </c>
      <c r="I305" s="2">
        <v>146.4</v>
      </c>
    </row>
    <row r="306" spans="1:9" x14ac:dyDescent="0.3">
      <c r="A306" s="2" t="s">
        <v>313</v>
      </c>
      <c r="B306" s="2" t="s">
        <v>515</v>
      </c>
      <c r="C306" s="2">
        <v>338</v>
      </c>
      <c r="D306" s="2">
        <v>81</v>
      </c>
      <c r="E306" s="2" t="s">
        <v>516</v>
      </c>
      <c r="F306" s="2" t="s">
        <v>520</v>
      </c>
      <c r="G306" s="2">
        <v>3</v>
      </c>
      <c r="H306" s="2" t="s">
        <v>525</v>
      </c>
      <c r="I306" s="2">
        <v>179.36</v>
      </c>
    </row>
    <row r="307" spans="1:9" x14ac:dyDescent="0.3">
      <c r="A307" s="2" t="s">
        <v>314</v>
      </c>
      <c r="B307" s="2" t="s">
        <v>509</v>
      </c>
      <c r="C307" s="2">
        <v>407</v>
      </c>
      <c r="D307" s="2">
        <v>63</v>
      </c>
      <c r="E307" s="2" t="s">
        <v>518</v>
      </c>
      <c r="F307" s="2" t="s">
        <v>522</v>
      </c>
      <c r="G307" s="2">
        <v>17</v>
      </c>
      <c r="H307" s="2" t="s">
        <v>527</v>
      </c>
      <c r="I307" s="2">
        <v>104.59</v>
      </c>
    </row>
    <row r="308" spans="1:9" x14ac:dyDescent="0.3">
      <c r="A308" s="2" t="s">
        <v>315</v>
      </c>
      <c r="B308" s="2" t="s">
        <v>515</v>
      </c>
      <c r="C308" s="2">
        <v>230</v>
      </c>
      <c r="D308" s="2">
        <v>87</v>
      </c>
      <c r="E308" s="2" t="s">
        <v>519</v>
      </c>
      <c r="F308" s="2" t="s">
        <v>523</v>
      </c>
      <c r="G308" s="2">
        <v>11</v>
      </c>
      <c r="H308" s="2" t="s">
        <v>526</v>
      </c>
      <c r="I308" s="2">
        <v>27.43</v>
      </c>
    </row>
    <row r="309" spans="1:9" x14ac:dyDescent="0.3">
      <c r="A309" s="2" t="s">
        <v>316</v>
      </c>
      <c r="B309" s="2" t="s">
        <v>514</v>
      </c>
      <c r="C309" s="2">
        <v>323</v>
      </c>
      <c r="D309" s="2">
        <v>63</v>
      </c>
      <c r="E309" s="2" t="s">
        <v>516</v>
      </c>
      <c r="F309" s="2" t="s">
        <v>520</v>
      </c>
      <c r="G309" s="2">
        <v>16</v>
      </c>
      <c r="H309" s="2" t="s">
        <v>525</v>
      </c>
      <c r="I309" s="2">
        <v>152.49</v>
      </c>
    </row>
    <row r="310" spans="1:9" x14ac:dyDescent="0.3">
      <c r="A310" s="2" t="s">
        <v>317</v>
      </c>
      <c r="B310" s="2" t="s">
        <v>511</v>
      </c>
      <c r="C310" s="2">
        <v>427</v>
      </c>
      <c r="D310" s="2">
        <v>41</v>
      </c>
      <c r="E310" s="2" t="s">
        <v>517</v>
      </c>
      <c r="F310" s="2" t="s">
        <v>521</v>
      </c>
      <c r="G310" s="2">
        <v>16</v>
      </c>
      <c r="H310" s="2" t="s">
        <v>525</v>
      </c>
      <c r="I310" s="2">
        <v>199.34</v>
      </c>
    </row>
    <row r="311" spans="1:9" x14ac:dyDescent="0.3">
      <c r="A311" s="2" t="s">
        <v>318</v>
      </c>
      <c r="B311" s="2" t="s">
        <v>515</v>
      </c>
      <c r="C311" s="2">
        <v>390</v>
      </c>
      <c r="D311" s="2">
        <v>73</v>
      </c>
      <c r="E311" s="2" t="s">
        <v>518</v>
      </c>
      <c r="F311" s="2" t="s">
        <v>522</v>
      </c>
      <c r="G311" s="2">
        <v>6</v>
      </c>
      <c r="H311" s="2" t="s">
        <v>527</v>
      </c>
      <c r="I311" s="2">
        <v>48.68</v>
      </c>
    </row>
    <row r="312" spans="1:9" x14ac:dyDescent="0.3">
      <c r="A312" s="2" t="s">
        <v>319</v>
      </c>
      <c r="B312" s="2" t="s">
        <v>515</v>
      </c>
      <c r="C312" s="2">
        <v>117</v>
      </c>
      <c r="D312" s="2">
        <v>40</v>
      </c>
      <c r="E312" s="2" t="s">
        <v>519</v>
      </c>
      <c r="F312" s="2" t="s">
        <v>523</v>
      </c>
      <c r="G312" s="2">
        <v>11</v>
      </c>
      <c r="H312" s="2" t="s">
        <v>527</v>
      </c>
      <c r="I312" s="2">
        <v>116.57</v>
      </c>
    </row>
    <row r="313" spans="1:9" x14ac:dyDescent="0.3">
      <c r="A313" s="2" t="s">
        <v>320</v>
      </c>
      <c r="B313" s="2" t="s">
        <v>511</v>
      </c>
      <c r="C313" s="2">
        <v>331</v>
      </c>
      <c r="D313" s="2">
        <v>81</v>
      </c>
      <c r="E313" s="2" t="s">
        <v>516</v>
      </c>
      <c r="F313" s="2" t="s">
        <v>520</v>
      </c>
      <c r="G313" s="2">
        <v>11</v>
      </c>
      <c r="H313" s="2" t="s">
        <v>524</v>
      </c>
      <c r="I313" s="2">
        <v>162.51</v>
      </c>
    </row>
    <row r="314" spans="1:9" x14ac:dyDescent="0.3">
      <c r="A314" s="2" t="s">
        <v>321</v>
      </c>
      <c r="B314" s="2" t="s">
        <v>515</v>
      </c>
      <c r="C314" s="2">
        <v>500</v>
      </c>
      <c r="D314" s="2">
        <v>50</v>
      </c>
      <c r="E314" s="2" t="s">
        <v>516</v>
      </c>
      <c r="F314" s="2" t="s">
        <v>520</v>
      </c>
      <c r="G314" s="2">
        <v>21</v>
      </c>
      <c r="H314" s="2" t="s">
        <v>527</v>
      </c>
      <c r="I314" s="2">
        <v>49.58</v>
      </c>
    </row>
    <row r="315" spans="1:9" x14ac:dyDescent="0.3">
      <c r="A315" s="2" t="s">
        <v>322</v>
      </c>
      <c r="B315" s="2" t="s">
        <v>511</v>
      </c>
      <c r="C315" s="2">
        <v>57</v>
      </c>
      <c r="D315" s="2">
        <v>89</v>
      </c>
      <c r="E315" s="2" t="s">
        <v>518</v>
      </c>
      <c r="F315" s="2" t="s">
        <v>522</v>
      </c>
      <c r="G315" s="2">
        <v>17</v>
      </c>
      <c r="H315" s="2" t="s">
        <v>526</v>
      </c>
      <c r="I315" s="2">
        <v>17.64</v>
      </c>
    </row>
    <row r="316" spans="1:9" x14ac:dyDescent="0.3">
      <c r="A316" s="2" t="s">
        <v>323</v>
      </c>
      <c r="B316" s="2" t="s">
        <v>515</v>
      </c>
      <c r="C316" s="2">
        <v>102</v>
      </c>
      <c r="D316" s="2">
        <v>89</v>
      </c>
      <c r="E316" s="2" t="s">
        <v>516</v>
      </c>
      <c r="F316" s="2" t="s">
        <v>520</v>
      </c>
      <c r="G316" s="2">
        <v>19</v>
      </c>
      <c r="H316" s="2" t="s">
        <v>526</v>
      </c>
      <c r="I316" s="2">
        <v>31.12</v>
      </c>
    </row>
    <row r="317" spans="1:9" x14ac:dyDescent="0.3">
      <c r="A317" s="2" t="s">
        <v>324</v>
      </c>
      <c r="B317" s="2" t="s">
        <v>510</v>
      </c>
      <c r="C317" s="2">
        <v>388</v>
      </c>
      <c r="D317" s="2">
        <v>81</v>
      </c>
      <c r="E317" s="2" t="s">
        <v>517</v>
      </c>
      <c r="F317" s="2" t="s">
        <v>521</v>
      </c>
      <c r="G317" s="2">
        <v>15</v>
      </c>
      <c r="H317" s="2" t="s">
        <v>525</v>
      </c>
      <c r="I317" s="2">
        <v>156.69999999999999</v>
      </c>
    </row>
    <row r="318" spans="1:9" x14ac:dyDescent="0.3">
      <c r="A318" s="2" t="s">
        <v>325</v>
      </c>
      <c r="B318" s="2" t="s">
        <v>512</v>
      </c>
      <c r="C318" s="2">
        <v>120</v>
      </c>
      <c r="D318" s="2">
        <v>26</v>
      </c>
      <c r="E318" s="2" t="s">
        <v>518</v>
      </c>
      <c r="F318" s="2" t="s">
        <v>522</v>
      </c>
      <c r="G318" s="2">
        <v>18</v>
      </c>
      <c r="H318" s="2" t="s">
        <v>527</v>
      </c>
      <c r="I318" s="2">
        <v>169.54</v>
      </c>
    </row>
    <row r="319" spans="1:9" x14ac:dyDescent="0.3">
      <c r="A319" s="2" t="s">
        <v>326</v>
      </c>
      <c r="B319" s="2" t="s">
        <v>515</v>
      </c>
      <c r="C319" s="2">
        <v>133</v>
      </c>
      <c r="D319" s="2">
        <v>92</v>
      </c>
      <c r="E319" s="2" t="s">
        <v>519</v>
      </c>
      <c r="F319" s="2" t="s">
        <v>523</v>
      </c>
      <c r="G319" s="2">
        <v>18</v>
      </c>
      <c r="H319" s="2" t="s">
        <v>524</v>
      </c>
      <c r="I319" s="2">
        <v>30.42</v>
      </c>
    </row>
    <row r="320" spans="1:9" x14ac:dyDescent="0.3">
      <c r="A320" s="2" t="s">
        <v>327</v>
      </c>
      <c r="B320" s="2" t="s">
        <v>510</v>
      </c>
      <c r="C320" s="2">
        <v>52</v>
      </c>
      <c r="D320" s="2">
        <v>27</v>
      </c>
      <c r="E320" s="2" t="s">
        <v>516</v>
      </c>
      <c r="F320" s="2" t="s">
        <v>520</v>
      </c>
      <c r="G320" s="2">
        <v>5</v>
      </c>
      <c r="H320" s="2" t="s">
        <v>526</v>
      </c>
      <c r="I320" s="2">
        <v>114.05</v>
      </c>
    </row>
    <row r="321" spans="1:9" x14ac:dyDescent="0.3">
      <c r="A321" s="2" t="s">
        <v>328</v>
      </c>
      <c r="B321" s="2" t="s">
        <v>513</v>
      </c>
      <c r="C321" s="2">
        <v>68</v>
      </c>
      <c r="D321" s="2">
        <v>46</v>
      </c>
      <c r="E321" s="2" t="s">
        <v>518</v>
      </c>
      <c r="F321" s="2" t="s">
        <v>522</v>
      </c>
      <c r="G321" s="2">
        <v>8</v>
      </c>
      <c r="H321" s="2" t="s">
        <v>525</v>
      </c>
      <c r="I321" s="2">
        <v>114.28</v>
      </c>
    </row>
    <row r="322" spans="1:9" x14ac:dyDescent="0.3">
      <c r="A322" s="2" t="s">
        <v>329</v>
      </c>
      <c r="B322" s="2" t="s">
        <v>513</v>
      </c>
      <c r="C322" s="2">
        <v>125</v>
      </c>
      <c r="D322" s="2">
        <v>75</v>
      </c>
      <c r="E322" s="2" t="s">
        <v>519</v>
      </c>
      <c r="F322" s="2" t="s">
        <v>523</v>
      </c>
      <c r="G322" s="2">
        <v>3</v>
      </c>
      <c r="H322" s="2" t="s">
        <v>527</v>
      </c>
      <c r="I322" s="2">
        <v>19.350000000000001</v>
      </c>
    </row>
    <row r="323" spans="1:9" x14ac:dyDescent="0.3">
      <c r="A323" s="2" t="s">
        <v>330</v>
      </c>
      <c r="B323" s="2" t="s">
        <v>510</v>
      </c>
      <c r="C323" s="2">
        <v>261</v>
      </c>
      <c r="D323" s="2">
        <v>32</v>
      </c>
      <c r="E323" s="2" t="s">
        <v>519</v>
      </c>
      <c r="F323" s="2" t="s">
        <v>523</v>
      </c>
      <c r="G323" s="2">
        <v>4</v>
      </c>
      <c r="H323" s="2" t="s">
        <v>525</v>
      </c>
      <c r="I323" s="2">
        <v>169.15</v>
      </c>
    </row>
    <row r="324" spans="1:9" x14ac:dyDescent="0.3">
      <c r="A324" s="2" t="s">
        <v>331</v>
      </c>
      <c r="B324" s="2" t="s">
        <v>514</v>
      </c>
      <c r="C324" s="2">
        <v>218</v>
      </c>
      <c r="D324" s="2">
        <v>90</v>
      </c>
      <c r="E324" s="2" t="s">
        <v>517</v>
      </c>
      <c r="F324" s="2" t="s">
        <v>521</v>
      </c>
      <c r="G324" s="2">
        <v>9</v>
      </c>
      <c r="H324" s="2" t="s">
        <v>526</v>
      </c>
      <c r="I324" s="2">
        <v>114.43</v>
      </c>
    </row>
    <row r="325" spans="1:9" x14ac:dyDescent="0.3">
      <c r="A325" s="2" t="s">
        <v>332</v>
      </c>
      <c r="B325" s="2" t="s">
        <v>514</v>
      </c>
      <c r="C325" s="2">
        <v>290</v>
      </c>
      <c r="D325" s="2">
        <v>99</v>
      </c>
      <c r="E325" s="2" t="s">
        <v>519</v>
      </c>
      <c r="F325" s="2" t="s">
        <v>523</v>
      </c>
      <c r="G325" s="2">
        <v>6</v>
      </c>
      <c r="H325" s="2" t="s">
        <v>524</v>
      </c>
      <c r="I325" s="2">
        <v>61.78</v>
      </c>
    </row>
    <row r="326" spans="1:9" x14ac:dyDescent="0.3">
      <c r="A326" s="2" t="s">
        <v>333</v>
      </c>
      <c r="B326" s="2" t="s">
        <v>513</v>
      </c>
      <c r="C326" s="2">
        <v>48</v>
      </c>
      <c r="D326" s="2">
        <v>31</v>
      </c>
      <c r="E326" s="2" t="s">
        <v>518</v>
      </c>
      <c r="F326" s="2" t="s">
        <v>522</v>
      </c>
      <c r="G326" s="2">
        <v>12</v>
      </c>
      <c r="H326" s="2" t="s">
        <v>527</v>
      </c>
      <c r="I326" s="2">
        <v>165.02</v>
      </c>
    </row>
    <row r="327" spans="1:9" x14ac:dyDescent="0.3">
      <c r="A327" s="2" t="s">
        <v>334</v>
      </c>
      <c r="B327" s="2" t="s">
        <v>514</v>
      </c>
      <c r="C327" s="2">
        <v>380</v>
      </c>
      <c r="D327" s="2">
        <v>50</v>
      </c>
      <c r="E327" s="2" t="s">
        <v>519</v>
      </c>
      <c r="F327" s="2" t="s">
        <v>523</v>
      </c>
      <c r="G327" s="2">
        <v>5</v>
      </c>
      <c r="H327" s="2" t="s">
        <v>525</v>
      </c>
      <c r="I327" s="2">
        <v>65.42</v>
      </c>
    </row>
    <row r="328" spans="1:9" x14ac:dyDescent="0.3">
      <c r="A328" s="2" t="s">
        <v>335</v>
      </c>
      <c r="B328" s="2" t="s">
        <v>510</v>
      </c>
      <c r="C328" s="2">
        <v>369</v>
      </c>
      <c r="D328" s="2">
        <v>53</v>
      </c>
      <c r="E328" s="2" t="s">
        <v>519</v>
      </c>
      <c r="F328" s="2" t="s">
        <v>523</v>
      </c>
      <c r="G328" s="2">
        <v>17</v>
      </c>
      <c r="H328" s="2" t="s">
        <v>528</v>
      </c>
      <c r="I328" s="2">
        <v>164.41</v>
      </c>
    </row>
    <row r="329" spans="1:9" x14ac:dyDescent="0.3">
      <c r="A329" s="2" t="s">
        <v>336</v>
      </c>
      <c r="B329" s="2" t="s">
        <v>515</v>
      </c>
      <c r="C329" s="2">
        <v>119</v>
      </c>
      <c r="D329" s="2">
        <v>44</v>
      </c>
      <c r="E329" s="2" t="s">
        <v>519</v>
      </c>
      <c r="F329" s="2" t="s">
        <v>523</v>
      </c>
      <c r="G329" s="2">
        <v>17</v>
      </c>
      <c r="H329" s="2" t="s">
        <v>528</v>
      </c>
      <c r="I329" s="2">
        <v>25.82</v>
      </c>
    </row>
    <row r="330" spans="1:9" x14ac:dyDescent="0.3">
      <c r="A330" s="2" t="s">
        <v>337</v>
      </c>
      <c r="B330" s="2" t="s">
        <v>512</v>
      </c>
      <c r="C330" s="2">
        <v>101</v>
      </c>
      <c r="D330" s="2">
        <v>38</v>
      </c>
      <c r="E330" s="2" t="s">
        <v>516</v>
      </c>
      <c r="F330" s="2" t="s">
        <v>520</v>
      </c>
      <c r="G330" s="2">
        <v>17</v>
      </c>
      <c r="H330" s="2" t="s">
        <v>528</v>
      </c>
      <c r="I330" s="2">
        <v>8.77</v>
      </c>
    </row>
    <row r="331" spans="1:9" x14ac:dyDescent="0.3">
      <c r="A331" s="2" t="s">
        <v>338</v>
      </c>
      <c r="B331" s="2" t="s">
        <v>511</v>
      </c>
      <c r="C331" s="2">
        <v>294</v>
      </c>
      <c r="D331" s="2">
        <v>47</v>
      </c>
      <c r="E331" s="2" t="s">
        <v>519</v>
      </c>
      <c r="F331" s="2" t="s">
        <v>523</v>
      </c>
      <c r="G331" s="2">
        <v>13</v>
      </c>
      <c r="H331" s="2" t="s">
        <v>525</v>
      </c>
      <c r="I331" s="2">
        <v>64.73</v>
      </c>
    </row>
    <row r="332" spans="1:9" x14ac:dyDescent="0.3">
      <c r="A332" s="2" t="s">
        <v>339</v>
      </c>
      <c r="B332" s="2" t="s">
        <v>514</v>
      </c>
      <c r="C332" s="2">
        <v>457</v>
      </c>
      <c r="D332" s="2">
        <v>51</v>
      </c>
      <c r="E332" s="2" t="s">
        <v>516</v>
      </c>
      <c r="F332" s="2" t="s">
        <v>520</v>
      </c>
      <c r="G332" s="2">
        <v>14</v>
      </c>
      <c r="H332" s="2" t="s">
        <v>525</v>
      </c>
      <c r="I332" s="2">
        <v>58.57</v>
      </c>
    </row>
    <row r="333" spans="1:9" x14ac:dyDescent="0.3">
      <c r="A333" s="2" t="s">
        <v>340</v>
      </c>
      <c r="B333" s="2" t="s">
        <v>509</v>
      </c>
      <c r="C333" s="2">
        <v>386</v>
      </c>
      <c r="D333" s="2">
        <v>67</v>
      </c>
      <c r="E333" s="2" t="s">
        <v>519</v>
      </c>
      <c r="F333" s="2" t="s">
        <v>523</v>
      </c>
      <c r="G333" s="2">
        <v>10</v>
      </c>
      <c r="H333" s="2" t="s">
        <v>524</v>
      </c>
      <c r="I333" s="2">
        <v>78.09</v>
      </c>
    </row>
    <row r="334" spans="1:9" x14ac:dyDescent="0.3">
      <c r="A334" s="2" t="s">
        <v>341</v>
      </c>
      <c r="B334" s="2" t="s">
        <v>513</v>
      </c>
      <c r="C334" s="2">
        <v>246</v>
      </c>
      <c r="D334" s="2">
        <v>52</v>
      </c>
      <c r="E334" s="2" t="s">
        <v>516</v>
      </c>
      <c r="F334" s="2" t="s">
        <v>520</v>
      </c>
      <c r="G334" s="2">
        <v>16</v>
      </c>
      <c r="H334" s="2" t="s">
        <v>527</v>
      </c>
      <c r="I334" s="2">
        <v>22.13</v>
      </c>
    </row>
    <row r="335" spans="1:9" x14ac:dyDescent="0.3">
      <c r="A335" s="2" t="s">
        <v>342</v>
      </c>
      <c r="B335" s="2" t="s">
        <v>511</v>
      </c>
      <c r="C335" s="2">
        <v>103</v>
      </c>
      <c r="D335" s="2">
        <v>65</v>
      </c>
      <c r="E335" s="2" t="s">
        <v>516</v>
      </c>
      <c r="F335" s="2" t="s">
        <v>520</v>
      </c>
      <c r="G335" s="2">
        <v>19</v>
      </c>
      <c r="H335" s="2" t="s">
        <v>526</v>
      </c>
      <c r="I335" s="2">
        <v>87.99</v>
      </c>
    </row>
    <row r="336" spans="1:9" x14ac:dyDescent="0.3">
      <c r="A336" s="2" t="s">
        <v>343</v>
      </c>
      <c r="B336" s="2" t="s">
        <v>510</v>
      </c>
      <c r="C336" s="2">
        <v>27</v>
      </c>
      <c r="D336" s="2">
        <v>74</v>
      </c>
      <c r="E336" s="2" t="s">
        <v>516</v>
      </c>
      <c r="F336" s="2" t="s">
        <v>520</v>
      </c>
      <c r="G336" s="2">
        <v>14</v>
      </c>
      <c r="H336" s="2" t="s">
        <v>524</v>
      </c>
      <c r="I336" s="2">
        <v>41.8</v>
      </c>
    </row>
    <row r="337" spans="1:9" x14ac:dyDescent="0.3">
      <c r="A337" s="2" t="s">
        <v>344</v>
      </c>
      <c r="B337" s="2" t="s">
        <v>511</v>
      </c>
      <c r="C337" s="2">
        <v>145</v>
      </c>
      <c r="D337" s="2">
        <v>55</v>
      </c>
      <c r="E337" s="2" t="s">
        <v>516</v>
      </c>
      <c r="F337" s="2" t="s">
        <v>520</v>
      </c>
      <c r="G337" s="2">
        <v>19</v>
      </c>
      <c r="H337" s="2" t="s">
        <v>525</v>
      </c>
      <c r="I337" s="2">
        <v>87.22</v>
      </c>
    </row>
    <row r="338" spans="1:9" x14ac:dyDescent="0.3">
      <c r="A338" s="2" t="s">
        <v>345</v>
      </c>
      <c r="B338" s="2" t="s">
        <v>512</v>
      </c>
      <c r="C338" s="2">
        <v>74</v>
      </c>
      <c r="D338" s="2">
        <v>98</v>
      </c>
      <c r="E338" s="2" t="s">
        <v>516</v>
      </c>
      <c r="F338" s="2" t="s">
        <v>520</v>
      </c>
      <c r="G338" s="2">
        <v>9</v>
      </c>
      <c r="H338" s="2" t="s">
        <v>524</v>
      </c>
      <c r="I338" s="2">
        <v>142.01</v>
      </c>
    </row>
    <row r="339" spans="1:9" x14ac:dyDescent="0.3">
      <c r="A339" s="2" t="s">
        <v>346</v>
      </c>
      <c r="B339" s="2" t="s">
        <v>513</v>
      </c>
      <c r="C339" s="2">
        <v>297</v>
      </c>
      <c r="D339" s="2">
        <v>52</v>
      </c>
      <c r="E339" s="2" t="s">
        <v>518</v>
      </c>
      <c r="F339" s="2" t="s">
        <v>522</v>
      </c>
      <c r="G339" s="2">
        <v>5</v>
      </c>
      <c r="H339" s="2" t="s">
        <v>526</v>
      </c>
      <c r="I339" s="2">
        <v>13.98</v>
      </c>
    </row>
    <row r="340" spans="1:9" x14ac:dyDescent="0.3">
      <c r="A340" s="2" t="s">
        <v>347</v>
      </c>
      <c r="B340" s="2" t="s">
        <v>509</v>
      </c>
      <c r="C340" s="2">
        <v>388</v>
      </c>
      <c r="D340" s="2">
        <v>99</v>
      </c>
      <c r="E340" s="2" t="s">
        <v>518</v>
      </c>
      <c r="F340" s="2" t="s">
        <v>522</v>
      </c>
      <c r="G340" s="2">
        <v>3</v>
      </c>
      <c r="H340" s="2" t="s">
        <v>525</v>
      </c>
      <c r="I340" s="2">
        <v>31.51</v>
      </c>
    </row>
    <row r="341" spans="1:9" x14ac:dyDescent="0.3">
      <c r="A341" s="2" t="s">
        <v>348</v>
      </c>
      <c r="B341" s="2" t="s">
        <v>512</v>
      </c>
      <c r="C341" s="2">
        <v>19</v>
      </c>
      <c r="D341" s="2">
        <v>93</v>
      </c>
      <c r="E341" s="2" t="s">
        <v>518</v>
      </c>
      <c r="F341" s="2" t="s">
        <v>522</v>
      </c>
      <c r="G341" s="2">
        <v>21</v>
      </c>
      <c r="H341" s="2" t="s">
        <v>527</v>
      </c>
      <c r="I341" s="2">
        <v>65.28</v>
      </c>
    </row>
    <row r="342" spans="1:9" x14ac:dyDescent="0.3">
      <c r="A342" s="2" t="s">
        <v>349</v>
      </c>
      <c r="B342" s="2" t="s">
        <v>514</v>
      </c>
      <c r="C342" s="2">
        <v>438</v>
      </c>
      <c r="D342" s="2">
        <v>39</v>
      </c>
      <c r="E342" s="2" t="s">
        <v>516</v>
      </c>
      <c r="F342" s="2" t="s">
        <v>520</v>
      </c>
      <c r="G342" s="2">
        <v>14</v>
      </c>
      <c r="H342" s="2" t="s">
        <v>524</v>
      </c>
      <c r="I342" s="2">
        <v>62.75</v>
      </c>
    </row>
    <row r="343" spans="1:9" x14ac:dyDescent="0.3">
      <c r="A343" s="2" t="s">
        <v>350</v>
      </c>
      <c r="B343" s="2" t="s">
        <v>514</v>
      </c>
      <c r="C343" s="2">
        <v>9</v>
      </c>
      <c r="D343" s="2">
        <v>83</v>
      </c>
      <c r="E343" s="2" t="s">
        <v>517</v>
      </c>
      <c r="F343" s="2" t="s">
        <v>521</v>
      </c>
      <c r="G343" s="2">
        <v>7</v>
      </c>
      <c r="H343" s="2" t="s">
        <v>524</v>
      </c>
      <c r="I343" s="2">
        <v>15.86</v>
      </c>
    </row>
    <row r="344" spans="1:9" x14ac:dyDescent="0.3">
      <c r="A344" s="2" t="s">
        <v>351</v>
      </c>
      <c r="B344" s="2" t="s">
        <v>511</v>
      </c>
      <c r="C344" s="2">
        <v>221</v>
      </c>
      <c r="D344" s="2">
        <v>100</v>
      </c>
      <c r="E344" s="2" t="s">
        <v>517</v>
      </c>
      <c r="F344" s="2" t="s">
        <v>521</v>
      </c>
      <c r="G344" s="2">
        <v>10</v>
      </c>
      <c r="H344" s="2" t="s">
        <v>526</v>
      </c>
      <c r="I344" s="2">
        <v>41.02</v>
      </c>
    </row>
    <row r="345" spans="1:9" x14ac:dyDescent="0.3">
      <c r="A345" s="2" t="s">
        <v>352</v>
      </c>
      <c r="B345" s="2" t="s">
        <v>511</v>
      </c>
      <c r="C345" s="2">
        <v>293</v>
      </c>
      <c r="D345" s="2">
        <v>40</v>
      </c>
      <c r="E345" s="2" t="s">
        <v>516</v>
      </c>
      <c r="F345" s="2" t="s">
        <v>520</v>
      </c>
      <c r="G345" s="2">
        <v>9</v>
      </c>
      <c r="H345" s="2" t="s">
        <v>527</v>
      </c>
      <c r="I345" s="2">
        <v>112.22</v>
      </c>
    </row>
    <row r="346" spans="1:9" x14ac:dyDescent="0.3">
      <c r="A346" s="2" t="s">
        <v>353</v>
      </c>
      <c r="B346" s="2" t="s">
        <v>512</v>
      </c>
      <c r="C346" s="2">
        <v>4</v>
      </c>
      <c r="D346" s="2">
        <v>96</v>
      </c>
      <c r="E346" s="2" t="s">
        <v>516</v>
      </c>
      <c r="F346" s="2" t="s">
        <v>520</v>
      </c>
      <c r="G346" s="2">
        <v>16</v>
      </c>
      <c r="H346" s="2" t="s">
        <v>524</v>
      </c>
      <c r="I346" s="2">
        <v>181.05</v>
      </c>
    </row>
    <row r="347" spans="1:9" x14ac:dyDescent="0.3">
      <c r="A347" s="2" t="s">
        <v>354</v>
      </c>
      <c r="B347" s="2" t="s">
        <v>514</v>
      </c>
      <c r="C347" s="2">
        <v>248</v>
      </c>
      <c r="D347" s="2">
        <v>90</v>
      </c>
      <c r="E347" s="2" t="s">
        <v>516</v>
      </c>
      <c r="F347" s="2" t="s">
        <v>520</v>
      </c>
      <c r="G347" s="2">
        <v>11</v>
      </c>
      <c r="H347" s="2" t="s">
        <v>527</v>
      </c>
      <c r="I347" s="2">
        <v>124.22</v>
      </c>
    </row>
    <row r="348" spans="1:9" x14ac:dyDescent="0.3">
      <c r="A348" s="2" t="s">
        <v>355</v>
      </c>
      <c r="B348" s="2" t="s">
        <v>514</v>
      </c>
      <c r="C348" s="2">
        <v>277</v>
      </c>
      <c r="D348" s="2">
        <v>48</v>
      </c>
      <c r="E348" s="2" t="s">
        <v>518</v>
      </c>
      <c r="F348" s="2" t="s">
        <v>522</v>
      </c>
      <c r="G348" s="2">
        <v>4</v>
      </c>
      <c r="H348" s="2" t="s">
        <v>528</v>
      </c>
      <c r="I348" s="2">
        <v>198.14</v>
      </c>
    </row>
    <row r="349" spans="1:9" x14ac:dyDescent="0.3">
      <c r="A349" s="2" t="s">
        <v>356</v>
      </c>
      <c r="B349" s="2" t="s">
        <v>513</v>
      </c>
      <c r="C349" s="2">
        <v>481</v>
      </c>
      <c r="D349" s="2">
        <v>27</v>
      </c>
      <c r="E349" s="2" t="s">
        <v>516</v>
      </c>
      <c r="F349" s="2" t="s">
        <v>520</v>
      </c>
      <c r="G349" s="2">
        <v>15</v>
      </c>
      <c r="H349" s="2" t="s">
        <v>526</v>
      </c>
      <c r="I349" s="2">
        <v>125.55</v>
      </c>
    </row>
    <row r="350" spans="1:9" x14ac:dyDescent="0.3">
      <c r="A350" s="2" t="s">
        <v>357</v>
      </c>
      <c r="B350" s="2" t="s">
        <v>514</v>
      </c>
      <c r="C350" s="2">
        <v>328</v>
      </c>
      <c r="D350" s="2">
        <v>68</v>
      </c>
      <c r="E350" s="2" t="s">
        <v>519</v>
      </c>
      <c r="F350" s="2" t="s">
        <v>523</v>
      </c>
      <c r="G350" s="2">
        <v>4</v>
      </c>
      <c r="H350" s="2" t="s">
        <v>525</v>
      </c>
      <c r="I350" s="2">
        <v>179.98</v>
      </c>
    </row>
    <row r="351" spans="1:9" x14ac:dyDescent="0.3">
      <c r="A351" s="2" t="s">
        <v>358</v>
      </c>
      <c r="B351" s="2" t="s">
        <v>509</v>
      </c>
      <c r="C351" s="2">
        <v>269</v>
      </c>
      <c r="D351" s="2">
        <v>95</v>
      </c>
      <c r="E351" s="2" t="s">
        <v>516</v>
      </c>
      <c r="F351" s="2" t="s">
        <v>520</v>
      </c>
      <c r="G351" s="2">
        <v>9</v>
      </c>
      <c r="H351" s="2" t="s">
        <v>526</v>
      </c>
      <c r="I351" s="2">
        <v>157.72</v>
      </c>
    </row>
    <row r="352" spans="1:9" x14ac:dyDescent="0.3">
      <c r="A352" s="2" t="s">
        <v>359</v>
      </c>
      <c r="B352" s="2" t="s">
        <v>510</v>
      </c>
      <c r="C352" s="2">
        <v>481</v>
      </c>
      <c r="D352" s="2">
        <v>23</v>
      </c>
      <c r="E352" s="2" t="s">
        <v>517</v>
      </c>
      <c r="F352" s="2" t="s">
        <v>521</v>
      </c>
      <c r="G352" s="2">
        <v>3</v>
      </c>
      <c r="H352" s="2" t="s">
        <v>527</v>
      </c>
      <c r="I352" s="2">
        <v>132.77000000000001</v>
      </c>
    </row>
    <row r="353" spans="1:9" x14ac:dyDescent="0.3">
      <c r="A353" s="2" t="s">
        <v>360</v>
      </c>
      <c r="B353" s="2" t="s">
        <v>509</v>
      </c>
      <c r="C353" s="2">
        <v>44</v>
      </c>
      <c r="D353" s="2">
        <v>94</v>
      </c>
      <c r="E353" s="2" t="s">
        <v>518</v>
      </c>
      <c r="F353" s="2" t="s">
        <v>522</v>
      </c>
      <c r="G353" s="2">
        <v>11</v>
      </c>
      <c r="H353" s="2" t="s">
        <v>525</v>
      </c>
      <c r="I353" s="2">
        <v>135.66</v>
      </c>
    </row>
    <row r="354" spans="1:9" x14ac:dyDescent="0.3">
      <c r="A354" s="2" t="s">
        <v>361</v>
      </c>
      <c r="B354" s="2" t="s">
        <v>509</v>
      </c>
      <c r="C354" s="2">
        <v>333</v>
      </c>
      <c r="D354" s="2">
        <v>25</v>
      </c>
      <c r="E354" s="2" t="s">
        <v>517</v>
      </c>
      <c r="F354" s="2" t="s">
        <v>521</v>
      </c>
      <c r="G354" s="2">
        <v>16</v>
      </c>
      <c r="H354" s="2" t="s">
        <v>528</v>
      </c>
      <c r="I354" s="2">
        <v>95.6</v>
      </c>
    </row>
    <row r="355" spans="1:9" x14ac:dyDescent="0.3">
      <c r="A355" s="2" t="s">
        <v>362</v>
      </c>
      <c r="B355" s="2" t="s">
        <v>510</v>
      </c>
      <c r="C355" s="2">
        <v>401</v>
      </c>
      <c r="D355" s="2">
        <v>54</v>
      </c>
      <c r="E355" s="2" t="s">
        <v>518</v>
      </c>
      <c r="F355" s="2" t="s">
        <v>522</v>
      </c>
      <c r="G355" s="2">
        <v>19</v>
      </c>
      <c r="H355" s="2" t="s">
        <v>525</v>
      </c>
      <c r="I355" s="2">
        <v>75.75</v>
      </c>
    </row>
    <row r="356" spans="1:9" x14ac:dyDescent="0.3">
      <c r="A356" s="2" t="s">
        <v>363</v>
      </c>
      <c r="B356" s="2" t="s">
        <v>511</v>
      </c>
      <c r="C356" s="2">
        <v>147</v>
      </c>
      <c r="D356" s="2">
        <v>23</v>
      </c>
      <c r="E356" s="2" t="s">
        <v>518</v>
      </c>
      <c r="F356" s="2" t="s">
        <v>522</v>
      </c>
      <c r="G356" s="2">
        <v>14</v>
      </c>
      <c r="H356" s="2" t="s">
        <v>527</v>
      </c>
      <c r="I356" s="2">
        <v>22.04</v>
      </c>
    </row>
    <row r="357" spans="1:9" x14ac:dyDescent="0.3">
      <c r="A357" s="2" t="s">
        <v>364</v>
      </c>
      <c r="B357" s="2" t="s">
        <v>514</v>
      </c>
      <c r="C357" s="2">
        <v>257</v>
      </c>
      <c r="D357" s="2">
        <v>47</v>
      </c>
      <c r="E357" s="2" t="s">
        <v>518</v>
      </c>
      <c r="F357" s="2" t="s">
        <v>522</v>
      </c>
      <c r="G357" s="2">
        <v>10</v>
      </c>
      <c r="H357" s="2" t="s">
        <v>528</v>
      </c>
      <c r="I357" s="2">
        <v>122.44</v>
      </c>
    </row>
    <row r="358" spans="1:9" x14ac:dyDescent="0.3">
      <c r="A358" s="2" t="s">
        <v>365</v>
      </c>
      <c r="B358" s="2" t="s">
        <v>513</v>
      </c>
      <c r="C358" s="2">
        <v>333</v>
      </c>
      <c r="D358" s="2">
        <v>68</v>
      </c>
      <c r="E358" s="2" t="s">
        <v>517</v>
      </c>
      <c r="F358" s="2" t="s">
        <v>521</v>
      </c>
      <c r="G358" s="2">
        <v>4</v>
      </c>
      <c r="H358" s="2" t="s">
        <v>524</v>
      </c>
      <c r="I358" s="2">
        <v>79.87</v>
      </c>
    </row>
    <row r="359" spans="1:9" x14ac:dyDescent="0.3">
      <c r="A359" s="2" t="s">
        <v>366</v>
      </c>
      <c r="B359" s="2" t="s">
        <v>513</v>
      </c>
      <c r="C359" s="2">
        <v>82</v>
      </c>
      <c r="D359" s="2">
        <v>54</v>
      </c>
      <c r="E359" s="2" t="s">
        <v>518</v>
      </c>
      <c r="F359" s="2" t="s">
        <v>522</v>
      </c>
      <c r="G359" s="2">
        <v>8</v>
      </c>
      <c r="H359" s="2" t="s">
        <v>527</v>
      </c>
      <c r="I359" s="2">
        <v>38.44</v>
      </c>
    </row>
    <row r="360" spans="1:9" x14ac:dyDescent="0.3">
      <c r="A360" s="2" t="s">
        <v>367</v>
      </c>
      <c r="B360" s="2" t="s">
        <v>512</v>
      </c>
      <c r="C360" s="2">
        <v>456</v>
      </c>
      <c r="D360" s="2">
        <v>20</v>
      </c>
      <c r="E360" s="2" t="s">
        <v>518</v>
      </c>
      <c r="F360" s="2" t="s">
        <v>522</v>
      </c>
      <c r="G360" s="2">
        <v>17</v>
      </c>
      <c r="H360" s="2" t="s">
        <v>525</v>
      </c>
      <c r="I360" s="2">
        <v>119.98</v>
      </c>
    </row>
    <row r="361" spans="1:9" x14ac:dyDescent="0.3">
      <c r="A361" s="2" t="s">
        <v>368</v>
      </c>
      <c r="B361" s="2" t="s">
        <v>513</v>
      </c>
      <c r="C361" s="2">
        <v>425</v>
      </c>
      <c r="D361" s="2">
        <v>76</v>
      </c>
      <c r="E361" s="2" t="s">
        <v>518</v>
      </c>
      <c r="F361" s="2" t="s">
        <v>522</v>
      </c>
      <c r="G361" s="2">
        <v>8</v>
      </c>
      <c r="H361" s="2" t="s">
        <v>527</v>
      </c>
      <c r="I361" s="2">
        <v>34.79</v>
      </c>
    </row>
    <row r="362" spans="1:9" x14ac:dyDescent="0.3">
      <c r="A362" s="2" t="s">
        <v>369</v>
      </c>
      <c r="B362" s="2" t="s">
        <v>514</v>
      </c>
      <c r="C362" s="2">
        <v>32</v>
      </c>
      <c r="D362" s="2">
        <v>20</v>
      </c>
      <c r="E362" s="2" t="s">
        <v>519</v>
      </c>
      <c r="F362" s="2" t="s">
        <v>523</v>
      </c>
      <c r="G362" s="2">
        <v>6</v>
      </c>
      <c r="H362" s="2" t="s">
        <v>526</v>
      </c>
      <c r="I362" s="2">
        <v>148.51</v>
      </c>
    </row>
    <row r="363" spans="1:9" x14ac:dyDescent="0.3">
      <c r="A363" s="2" t="s">
        <v>370</v>
      </c>
      <c r="B363" s="2" t="s">
        <v>513</v>
      </c>
      <c r="C363" s="2">
        <v>203</v>
      </c>
      <c r="D363" s="2">
        <v>45</v>
      </c>
      <c r="E363" s="2" t="s">
        <v>517</v>
      </c>
      <c r="F363" s="2" t="s">
        <v>521</v>
      </c>
      <c r="G363" s="2">
        <v>4</v>
      </c>
      <c r="H363" s="2" t="s">
        <v>525</v>
      </c>
      <c r="I363" s="2">
        <v>10.71</v>
      </c>
    </row>
    <row r="364" spans="1:9" x14ac:dyDescent="0.3">
      <c r="A364" s="2" t="s">
        <v>371</v>
      </c>
      <c r="B364" s="2" t="s">
        <v>511</v>
      </c>
      <c r="C364" s="2">
        <v>464</v>
      </c>
      <c r="D364" s="2">
        <v>55</v>
      </c>
      <c r="E364" s="2" t="s">
        <v>516</v>
      </c>
      <c r="F364" s="2" t="s">
        <v>520</v>
      </c>
      <c r="G364" s="2">
        <v>8</v>
      </c>
      <c r="H364" s="2" t="s">
        <v>526</v>
      </c>
      <c r="I364" s="2">
        <v>113.33</v>
      </c>
    </row>
    <row r="365" spans="1:9" x14ac:dyDescent="0.3">
      <c r="A365" s="2" t="s">
        <v>372</v>
      </c>
      <c r="B365" s="2" t="s">
        <v>509</v>
      </c>
      <c r="C365" s="2">
        <v>128</v>
      </c>
      <c r="D365" s="2">
        <v>98</v>
      </c>
      <c r="E365" s="2" t="s">
        <v>518</v>
      </c>
      <c r="F365" s="2" t="s">
        <v>522</v>
      </c>
      <c r="G365" s="2">
        <v>4</v>
      </c>
      <c r="H365" s="2" t="s">
        <v>527</v>
      </c>
      <c r="I365" s="2">
        <v>19.260000000000002</v>
      </c>
    </row>
    <row r="366" spans="1:9" x14ac:dyDescent="0.3">
      <c r="A366" s="2" t="s">
        <v>373</v>
      </c>
      <c r="B366" s="2" t="s">
        <v>511</v>
      </c>
      <c r="C366" s="2">
        <v>489</v>
      </c>
      <c r="D366" s="2">
        <v>89</v>
      </c>
      <c r="E366" s="2" t="s">
        <v>519</v>
      </c>
      <c r="F366" s="2" t="s">
        <v>523</v>
      </c>
      <c r="G366" s="2">
        <v>14</v>
      </c>
      <c r="H366" s="2" t="s">
        <v>525</v>
      </c>
      <c r="I366" s="2">
        <v>93.52</v>
      </c>
    </row>
    <row r="367" spans="1:9" x14ac:dyDescent="0.3">
      <c r="A367" s="2" t="s">
        <v>374</v>
      </c>
      <c r="B367" s="2" t="s">
        <v>515</v>
      </c>
      <c r="C367" s="2">
        <v>310</v>
      </c>
      <c r="D367" s="2">
        <v>94</v>
      </c>
      <c r="E367" s="2" t="s">
        <v>517</v>
      </c>
      <c r="F367" s="2" t="s">
        <v>521</v>
      </c>
      <c r="G367" s="2">
        <v>7</v>
      </c>
      <c r="H367" s="2" t="s">
        <v>527</v>
      </c>
      <c r="I367" s="2">
        <v>129.41999999999999</v>
      </c>
    </row>
    <row r="368" spans="1:9" x14ac:dyDescent="0.3">
      <c r="A368" s="2" t="s">
        <v>375</v>
      </c>
      <c r="B368" s="2" t="s">
        <v>509</v>
      </c>
      <c r="C368" s="2">
        <v>378</v>
      </c>
      <c r="D368" s="2">
        <v>83</v>
      </c>
      <c r="E368" s="2" t="s">
        <v>519</v>
      </c>
      <c r="F368" s="2" t="s">
        <v>523</v>
      </c>
      <c r="G368" s="2">
        <v>21</v>
      </c>
      <c r="H368" s="2" t="s">
        <v>526</v>
      </c>
      <c r="I368" s="2">
        <v>65.14</v>
      </c>
    </row>
    <row r="369" spans="1:9" x14ac:dyDescent="0.3">
      <c r="A369" s="2" t="s">
        <v>376</v>
      </c>
      <c r="B369" s="2" t="s">
        <v>515</v>
      </c>
      <c r="C369" s="2">
        <v>52</v>
      </c>
      <c r="D369" s="2">
        <v>32</v>
      </c>
      <c r="E369" s="2" t="s">
        <v>516</v>
      </c>
      <c r="F369" s="2" t="s">
        <v>520</v>
      </c>
      <c r="G369" s="2">
        <v>15</v>
      </c>
      <c r="H369" s="2" t="s">
        <v>528</v>
      </c>
      <c r="I369" s="2">
        <v>137.58000000000001</v>
      </c>
    </row>
    <row r="370" spans="1:9" x14ac:dyDescent="0.3">
      <c r="A370" s="2" t="s">
        <v>377</v>
      </c>
      <c r="B370" s="2" t="s">
        <v>514</v>
      </c>
      <c r="C370" s="2">
        <v>205</v>
      </c>
      <c r="D370" s="2">
        <v>67</v>
      </c>
      <c r="E370" s="2" t="s">
        <v>518</v>
      </c>
      <c r="F370" s="2" t="s">
        <v>522</v>
      </c>
      <c r="G370" s="2">
        <v>18</v>
      </c>
      <c r="H370" s="2" t="s">
        <v>524</v>
      </c>
      <c r="I370" s="2">
        <v>156.22</v>
      </c>
    </row>
    <row r="371" spans="1:9" x14ac:dyDescent="0.3">
      <c r="A371" s="2" t="s">
        <v>378</v>
      </c>
      <c r="B371" s="2" t="s">
        <v>511</v>
      </c>
      <c r="C371" s="2">
        <v>215</v>
      </c>
      <c r="D371" s="2">
        <v>83</v>
      </c>
      <c r="E371" s="2" t="s">
        <v>517</v>
      </c>
      <c r="F371" s="2" t="s">
        <v>521</v>
      </c>
      <c r="G371" s="2">
        <v>7</v>
      </c>
      <c r="H371" s="2" t="s">
        <v>526</v>
      </c>
      <c r="I371" s="2">
        <v>127.35</v>
      </c>
    </row>
    <row r="372" spans="1:9" x14ac:dyDescent="0.3">
      <c r="A372" s="2" t="s">
        <v>379</v>
      </c>
      <c r="B372" s="2" t="s">
        <v>513</v>
      </c>
      <c r="C372" s="2">
        <v>307</v>
      </c>
      <c r="D372" s="2">
        <v>52</v>
      </c>
      <c r="E372" s="2" t="s">
        <v>517</v>
      </c>
      <c r="F372" s="2" t="s">
        <v>521</v>
      </c>
      <c r="G372" s="2">
        <v>14</v>
      </c>
      <c r="H372" s="2" t="s">
        <v>524</v>
      </c>
      <c r="I372" s="2">
        <v>159.83000000000001</v>
      </c>
    </row>
    <row r="373" spans="1:9" x14ac:dyDescent="0.3">
      <c r="A373" s="2" t="s">
        <v>380</v>
      </c>
      <c r="B373" s="2" t="s">
        <v>513</v>
      </c>
      <c r="C373" s="2">
        <v>22</v>
      </c>
      <c r="D373" s="2">
        <v>76</v>
      </c>
      <c r="E373" s="2" t="s">
        <v>519</v>
      </c>
      <c r="F373" s="2" t="s">
        <v>523</v>
      </c>
      <c r="G373" s="2">
        <v>4</v>
      </c>
      <c r="H373" s="2" t="s">
        <v>528</v>
      </c>
      <c r="I373" s="2">
        <v>169.81</v>
      </c>
    </row>
    <row r="374" spans="1:9" x14ac:dyDescent="0.3">
      <c r="A374" s="2" t="s">
        <v>381</v>
      </c>
      <c r="B374" s="2" t="s">
        <v>512</v>
      </c>
      <c r="C374" s="2">
        <v>269</v>
      </c>
      <c r="D374" s="2">
        <v>82</v>
      </c>
      <c r="E374" s="2" t="s">
        <v>519</v>
      </c>
      <c r="F374" s="2" t="s">
        <v>523</v>
      </c>
      <c r="G374" s="2">
        <v>19</v>
      </c>
      <c r="H374" s="2" t="s">
        <v>528</v>
      </c>
      <c r="I374" s="2">
        <v>196.27</v>
      </c>
    </row>
    <row r="375" spans="1:9" x14ac:dyDescent="0.3">
      <c r="A375" s="2" t="s">
        <v>382</v>
      </c>
      <c r="B375" s="2" t="s">
        <v>509</v>
      </c>
      <c r="C375" s="2">
        <v>93</v>
      </c>
      <c r="D375" s="2">
        <v>37</v>
      </c>
      <c r="E375" s="2" t="s">
        <v>517</v>
      </c>
      <c r="F375" s="2" t="s">
        <v>521</v>
      </c>
      <c r="G375" s="2">
        <v>8</v>
      </c>
      <c r="H375" s="2" t="s">
        <v>524</v>
      </c>
      <c r="I375" s="2">
        <v>191.94</v>
      </c>
    </row>
    <row r="376" spans="1:9" x14ac:dyDescent="0.3">
      <c r="A376" s="2" t="s">
        <v>383</v>
      </c>
      <c r="B376" s="2" t="s">
        <v>513</v>
      </c>
      <c r="C376" s="2">
        <v>73</v>
      </c>
      <c r="D376" s="2">
        <v>40</v>
      </c>
      <c r="E376" s="2" t="s">
        <v>519</v>
      </c>
      <c r="F376" s="2" t="s">
        <v>523</v>
      </c>
      <c r="G376" s="2">
        <v>8</v>
      </c>
      <c r="H376" s="2" t="s">
        <v>525</v>
      </c>
      <c r="I376" s="2">
        <v>177.9</v>
      </c>
    </row>
    <row r="377" spans="1:9" x14ac:dyDescent="0.3">
      <c r="A377" s="2" t="s">
        <v>384</v>
      </c>
      <c r="B377" s="2" t="s">
        <v>510</v>
      </c>
      <c r="C377" s="2">
        <v>194</v>
      </c>
      <c r="D377" s="2">
        <v>80</v>
      </c>
      <c r="E377" s="2" t="s">
        <v>518</v>
      </c>
      <c r="F377" s="2" t="s">
        <v>522</v>
      </c>
      <c r="G377" s="2">
        <v>9</v>
      </c>
      <c r="H377" s="2" t="s">
        <v>528</v>
      </c>
      <c r="I377" s="2">
        <v>36.24</v>
      </c>
    </row>
    <row r="378" spans="1:9" x14ac:dyDescent="0.3">
      <c r="A378" s="2" t="s">
        <v>385</v>
      </c>
      <c r="B378" s="2" t="s">
        <v>510</v>
      </c>
      <c r="C378" s="2">
        <v>403</v>
      </c>
      <c r="D378" s="2">
        <v>70</v>
      </c>
      <c r="E378" s="2" t="s">
        <v>519</v>
      </c>
      <c r="F378" s="2" t="s">
        <v>523</v>
      </c>
      <c r="G378" s="2">
        <v>17</v>
      </c>
      <c r="H378" s="2" t="s">
        <v>528</v>
      </c>
      <c r="I378" s="2">
        <v>181.71</v>
      </c>
    </row>
    <row r="379" spans="1:9" x14ac:dyDescent="0.3">
      <c r="A379" s="2" t="s">
        <v>386</v>
      </c>
      <c r="B379" s="2" t="s">
        <v>512</v>
      </c>
      <c r="C379" s="2">
        <v>191</v>
      </c>
      <c r="D379" s="2">
        <v>31</v>
      </c>
      <c r="E379" s="2" t="s">
        <v>519</v>
      </c>
      <c r="F379" s="2" t="s">
        <v>523</v>
      </c>
      <c r="G379" s="2">
        <v>9</v>
      </c>
      <c r="H379" s="2" t="s">
        <v>524</v>
      </c>
      <c r="I379" s="2">
        <v>83.41</v>
      </c>
    </row>
    <row r="380" spans="1:9" x14ac:dyDescent="0.3">
      <c r="A380" s="2" t="s">
        <v>387</v>
      </c>
      <c r="B380" s="2" t="s">
        <v>509</v>
      </c>
      <c r="C380" s="2">
        <v>139</v>
      </c>
      <c r="D380" s="2">
        <v>23</v>
      </c>
      <c r="E380" s="2" t="s">
        <v>516</v>
      </c>
      <c r="F380" s="2" t="s">
        <v>520</v>
      </c>
      <c r="G380" s="2">
        <v>5</v>
      </c>
      <c r="H380" s="2" t="s">
        <v>527</v>
      </c>
      <c r="I380" s="2">
        <v>160.01</v>
      </c>
    </row>
    <row r="381" spans="1:9" x14ac:dyDescent="0.3">
      <c r="A381" s="2" t="s">
        <v>388</v>
      </c>
      <c r="B381" s="2" t="s">
        <v>509</v>
      </c>
      <c r="C381" s="2">
        <v>160</v>
      </c>
      <c r="D381" s="2">
        <v>48</v>
      </c>
      <c r="E381" s="2" t="s">
        <v>517</v>
      </c>
      <c r="F381" s="2" t="s">
        <v>521</v>
      </c>
      <c r="G381" s="2">
        <v>13</v>
      </c>
      <c r="H381" s="2" t="s">
        <v>527</v>
      </c>
      <c r="I381" s="2">
        <v>114.95</v>
      </c>
    </row>
    <row r="382" spans="1:9" x14ac:dyDescent="0.3">
      <c r="A382" s="2" t="s">
        <v>389</v>
      </c>
      <c r="B382" s="2" t="s">
        <v>511</v>
      </c>
      <c r="C382" s="2">
        <v>106</v>
      </c>
      <c r="D382" s="2">
        <v>67</v>
      </c>
      <c r="E382" s="2" t="s">
        <v>518</v>
      </c>
      <c r="F382" s="2" t="s">
        <v>522</v>
      </c>
      <c r="G382" s="2">
        <v>19</v>
      </c>
      <c r="H382" s="2" t="s">
        <v>526</v>
      </c>
      <c r="I382" s="2">
        <v>197.68</v>
      </c>
    </row>
    <row r="383" spans="1:9" x14ac:dyDescent="0.3">
      <c r="A383" s="2" t="s">
        <v>390</v>
      </c>
      <c r="B383" s="2" t="s">
        <v>509</v>
      </c>
      <c r="C383" s="2">
        <v>299</v>
      </c>
      <c r="D383" s="2">
        <v>21</v>
      </c>
      <c r="E383" s="2" t="s">
        <v>517</v>
      </c>
      <c r="F383" s="2" t="s">
        <v>521</v>
      </c>
      <c r="G383" s="2">
        <v>3</v>
      </c>
      <c r="H383" s="2" t="s">
        <v>527</v>
      </c>
      <c r="I383" s="2">
        <v>100.05</v>
      </c>
    </row>
    <row r="384" spans="1:9" x14ac:dyDescent="0.3">
      <c r="A384" s="2" t="s">
        <v>391</v>
      </c>
      <c r="B384" s="2" t="s">
        <v>512</v>
      </c>
      <c r="C384" s="2">
        <v>444</v>
      </c>
      <c r="D384" s="2">
        <v>46</v>
      </c>
      <c r="E384" s="2" t="s">
        <v>518</v>
      </c>
      <c r="F384" s="2" t="s">
        <v>522</v>
      </c>
      <c r="G384" s="2">
        <v>20</v>
      </c>
      <c r="H384" s="2" t="s">
        <v>526</v>
      </c>
      <c r="I384" s="2">
        <v>129.32</v>
      </c>
    </row>
    <row r="385" spans="1:9" x14ac:dyDescent="0.3">
      <c r="A385" s="2" t="s">
        <v>392</v>
      </c>
      <c r="B385" s="2" t="s">
        <v>515</v>
      </c>
      <c r="C385" s="2">
        <v>247</v>
      </c>
      <c r="D385" s="2">
        <v>56</v>
      </c>
      <c r="E385" s="2" t="s">
        <v>518</v>
      </c>
      <c r="F385" s="2" t="s">
        <v>522</v>
      </c>
      <c r="G385" s="2">
        <v>5</v>
      </c>
      <c r="H385" s="2" t="s">
        <v>526</v>
      </c>
      <c r="I385" s="2">
        <v>143.94</v>
      </c>
    </row>
    <row r="386" spans="1:9" x14ac:dyDescent="0.3">
      <c r="A386" s="2" t="s">
        <v>393</v>
      </c>
      <c r="B386" s="2" t="s">
        <v>514</v>
      </c>
      <c r="C386" s="2">
        <v>142</v>
      </c>
      <c r="D386" s="2">
        <v>83</v>
      </c>
      <c r="E386" s="2" t="s">
        <v>518</v>
      </c>
      <c r="F386" s="2" t="s">
        <v>522</v>
      </c>
      <c r="G386" s="2">
        <v>9</v>
      </c>
      <c r="H386" s="2" t="s">
        <v>527</v>
      </c>
      <c r="I386" s="2">
        <v>170.89</v>
      </c>
    </row>
    <row r="387" spans="1:9" x14ac:dyDescent="0.3">
      <c r="A387" s="2" t="s">
        <v>394</v>
      </c>
      <c r="B387" s="2" t="s">
        <v>514</v>
      </c>
      <c r="C387" s="2">
        <v>66</v>
      </c>
      <c r="D387" s="2">
        <v>24</v>
      </c>
      <c r="E387" s="2" t="s">
        <v>518</v>
      </c>
      <c r="F387" s="2" t="s">
        <v>522</v>
      </c>
      <c r="G387" s="2">
        <v>6</v>
      </c>
      <c r="H387" s="2" t="s">
        <v>524</v>
      </c>
      <c r="I387" s="2">
        <v>182.92</v>
      </c>
    </row>
    <row r="388" spans="1:9" x14ac:dyDescent="0.3">
      <c r="A388" s="2" t="s">
        <v>395</v>
      </c>
      <c r="B388" s="2" t="s">
        <v>514</v>
      </c>
      <c r="C388" s="2">
        <v>32</v>
      </c>
      <c r="D388" s="2">
        <v>85</v>
      </c>
      <c r="E388" s="2" t="s">
        <v>517</v>
      </c>
      <c r="F388" s="2" t="s">
        <v>521</v>
      </c>
      <c r="G388" s="2">
        <v>12</v>
      </c>
      <c r="H388" s="2" t="s">
        <v>526</v>
      </c>
      <c r="I388" s="2">
        <v>50.27</v>
      </c>
    </row>
    <row r="389" spans="1:9" x14ac:dyDescent="0.3">
      <c r="A389" s="2" t="s">
        <v>396</v>
      </c>
      <c r="B389" s="2" t="s">
        <v>514</v>
      </c>
      <c r="C389" s="2">
        <v>0</v>
      </c>
      <c r="D389" s="2">
        <v>98</v>
      </c>
      <c r="E389" s="2" t="s">
        <v>518</v>
      </c>
      <c r="F389" s="2" t="s">
        <v>522</v>
      </c>
      <c r="G389" s="2">
        <v>16</v>
      </c>
      <c r="H389" s="2" t="s">
        <v>528</v>
      </c>
      <c r="I389" s="2">
        <v>135.5</v>
      </c>
    </row>
    <row r="390" spans="1:9" x14ac:dyDescent="0.3">
      <c r="A390" s="2" t="s">
        <v>397</v>
      </c>
      <c r="B390" s="2" t="s">
        <v>514</v>
      </c>
      <c r="C390" s="2">
        <v>228</v>
      </c>
      <c r="D390" s="2">
        <v>49</v>
      </c>
      <c r="E390" s="2" t="s">
        <v>518</v>
      </c>
      <c r="F390" s="2" t="s">
        <v>522</v>
      </c>
      <c r="G390" s="2">
        <v>4</v>
      </c>
      <c r="H390" s="2" t="s">
        <v>525</v>
      </c>
      <c r="I390" s="2">
        <v>197.42</v>
      </c>
    </row>
    <row r="391" spans="1:9" x14ac:dyDescent="0.3">
      <c r="A391" s="2" t="s">
        <v>398</v>
      </c>
      <c r="B391" s="2" t="s">
        <v>511</v>
      </c>
      <c r="C391" s="2">
        <v>205</v>
      </c>
      <c r="D391" s="2">
        <v>38</v>
      </c>
      <c r="E391" s="2" t="s">
        <v>519</v>
      </c>
      <c r="F391" s="2" t="s">
        <v>523</v>
      </c>
      <c r="G391" s="2">
        <v>18</v>
      </c>
      <c r="H391" s="2" t="s">
        <v>524</v>
      </c>
      <c r="I391" s="2">
        <v>158.4</v>
      </c>
    </row>
    <row r="392" spans="1:9" x14ac:dyDescent="0.3">
      <c r="A392" s="2" t="s">
        <v>399</v>
      </c>
      <c r="B392" s="2" t="s">
        <v>511</v>
      </c>
      <c r="C392" s="2">
        <v>177</v>
      </c>
      <c r="D392" s="2">
        <v>31</v>
      </c>
      <c r="E392" s="2" t="s">
        <v>518</v>
      </c>
      <c r="F392" s="2" t="s">
        <v>522</v>
      </c>
      <c r="G392" s="2">
        <v>14</v>
      </c>
      <c r="H392" s="2" t="s">
        <v>527</v>
      </c>
      <c r="I392" s="2">
        <v>150.27000000000001</v>
      </c>
    </row>
    <row r="393" spans="1:9" x14ac:dyDescent="0.3">
      <c r="A393" s="2" t="s">
        <v>400</v>
      </c>
      <c r="B393" s="2" t="s">
        <v>511</v>
      </c>
      <c r="C393" s="2">
        <v>126</v>
      </c>
      <c r="D393" s="2">
        <v>95</v>
      </c>
      <c r="E393" s="2" t="s">
        <v>518</v>
      </c>
      <c r="F393" s="2" t="s">
        <v>522</v>
      </c>
      <c r="G393" s="2">
        <v>7</v>
      </c>
      <c r="H393" s="2" t="s">
        <v>528</v>
      </c>
      <c r="I393" s="2">
        <v>159.91</v>
      </c>
    </row>
    <row r="394" spans="1:9" x14ac:dyDescent="0.3">
      <c r="A394" s="2" t="s">
        <v>401</v>
      </c>
      <c r="B394" s="2" t="s">
        <v>515</v>
      </c>
      <c r="C394" s="2">
        <v>410</v>
      </c>
      <c r="D394" s="2">
        <v>93</v>
      </c>
      <c r="E394" s="2" t="s">
        <v>516</v>
      </c>
      <c r="F394" s="2" t="s">
        <v>520</v>
      </c>
      <c r="G394" s="2">
        <v>8</v>
      </c>
      <c r="H394" s="2" t="s">
        <v>527</v>
      </c>
      <c r="I394" s="2">
        <v>21.58</v>
      </c>
    </row>
    <row r="395" spans="1:9" x14ac:dyDescent="0.3">
      <c r="A395" s="2" t="s">
        <v>402</v>
      </c>
      <c r="B395" s="2" t="s">
        <v>510</v>
      </c>
      <c r="C395" s="2">
        <v>162</v>
      </c>
      <c r="D395" s="2">
        <v>78</v>
      </c>
      <c r="E395" s="2" t="s">
        <v>518</v>
      </c>
      <c r="F395" s="2" t="s">
        <v>522</v>
      </c>
      <c r="G395" s="2">
        <v>8</v>
      </c>
      <c r="H395" s="2" t="s">
        <v>526</v>
      </c>
      <c r="I395" s="2">
        <v>59.73</v>
      </c>
    </row>
    <row r="396" spans="1:9" x14ac:dyDescent="0.3">
      <c r="A396" s="2" t="s">
        <v>403</v>
      </c>
      <c r="B396" s="2" t="s">
        <v>515</v>
      </c>
      <c r="C396" s="2">
        <v>142</v>
      </c>
      <c r="D396" s="2">
        <v>40</v>
      </c>
      <c r="E396" s="2" t="s">
        <v>519</v>
      </c>
      <c r="F396" s="2" t="s">
        <v>523</v>
      </c>
      <c r="G396" s="2">
        <v>10</v>
      </c>
      <c r="H396" s="2" t="s">
        <v>527</v>
      </c>
      <c r="I396" s="2">
        <v>29.98</v>
      </c>
    </row>
    <row r="397" spans="1:9" x14ac:dyDescent="0.3">
      <c r="A397" s="2" t="s">
        <v>404</v>
      </c>
      <c r="B397" s="2" t="s">
        <v>509</v>
      </c>
      <c r="C397" s="2">
        <v>340</v>
      </c>
      <c r="D397" s="2">
        <v>58</v>
      </c>
      <c r="E397" s="2" t="s">
        <v>518</v>
      </c>
      <c r="F397" s="2" t="s">
        <v>522</v>
      </c>
      <c r="G397" s="2">
        <v>18</v>
      </c>
      <c r="H397" s="2" t="s">
        <v>525</v>
      </c>
      <c r="I397" s="2">
        <v>177.05</v>
      </c>
    </row>
    <row r="398" spans="1:9" x14ac:dyDescent="0.3">
      <c r="A398" s="2" t="s">
        <v>405</v>
      </c>
      <c r="B398" s="2" t="s">
        <v>511</v>
      </c>
      <c r="C398" s="2">
        <v>445</v>
      </c>
      <c r="D398" s="2">
        <v>30</v>
      </c>
      <c r="E398" s="2" t="s">
        <v>516</v>
      </c>
      <c r="F398" s="2" t="s">
        <v>520</v>
      </c>
      <c r="G398" s="2">
        <v>18</v>
      </c>
      <c r="H398" s="2" t="s">
        <v>526</v>
      </c>
      <c r="I398" s="2">
        <v>189.22</v>
      </c>
    </row>
    <row r="399" spans="1:9" x14ac:dyDescent="0.3">
      <c r="A399" s="2" t="s">
        <v>406</v>
      </c>
      <c r="B399" s="2" t="s">
        <v>511</v>
      </c>
      <c r="C399" s="2">
        <v>59</v>
      </c>
      <c r="D399" s="2">
        <v>89</v>
      </c>
      <c r="E399" s="2" t="s">
        <v>519</v>
      </c>
      <c r="F399" s="2" t="s">
        <v>523</v>
      </c>
      <c r="G399" s="2">
        <v>10</v>
      </c>
      <c r="H399" s="2" t="s">
        <v>528</v>
      </c>
      <c r="I399" s="2">
        <v>130.96</v>
      </c>
    </row>
    <row r="400" spans="1:9" x14ac:dyDescent="0.3">
      <c r="A400" s="2" t="s">
        <v>407</v>
      </c>
      <c r="B400" s="2" t="s">
        <v>509</v>
      </c>
      <c r="C400" s="2">
        <v>119</v>
      </c>
      <c r="D400" s="2">
        <v>61</v>
      </c>
      <c r="E400" s="2" t="s">
        <v>519</v>
      </c>
      <c r="F400" s="2" t="s">
        <v>523</v>
      </c>
      <c r="G400" s="2">
        <v>10</v>
      </c>
      <c r="H400" s="2" t="s">
        <v>525</v>
      </c>
      <c r="I400" s="2">
        <v>112.37</v>
      </c>
    </row>
    <row r="401" spans="1:9" x14ac:dyDescent="0.3">
      <c r="A401" s="2" t="s">
        <v>408</v>
      </c>
      <c r="B401" s="2" t="s">
        <v>513</v>
      </c>
      <c r="C401" s="2">
        <v>331</v>
      </c>
      <c r="D401" s="2">
        <v>93</v>
      </c>
      <c r="E401" s="2" t="s">
        <v>518</v>
      </c>
      <c r="F401" s="2" t="s">
        <v>522</v>
      </c>
      <c r="G401" s="2">
        <v>19</v>
      </c>
      <c r="H401" s="2" t="s">
        <v>528</v>
      </c>
      <c r="I401" s="2">
        <v>19.41</v>
      </c>
    </row>
    <row r="402" spans="1:9" x14ac:dyDescent="0.3">
      <c r="A402" s="2" t="s">
        <v>409</v>
      </c>
      <c r="B402" s="2" t="s">
        <v>512</v>
      </c>
      <c r="C402" s="2">
        <v>395</v>
      </c>
      <c r="D402" s="2">
        <v>31</v>
      </c>
      <c r="E402" s="2" t="s">
        <v>516</v>
      </c>
      <c r="F402" s="2" t="s">
        <v>520</v>
      </c>
      <c r="G402" s="2">
        <v>11</v>
      </c>
      <c r="H402" s="2" t="s">
        <v>524</v>
      </c>
      <c r="I402" s="2">
        <v>26.6</v>
      </c>
    </row>
    <row r="403" spans="1:9" x14ac:dyDescent="0.3">
      <c r="A403" s="2" t="s">
        <v>410</v>
      </c>
      <c r="B403" s="2" t="s">
        <v>512</v>
      </c>
      <c r="C403" s="2">
        <v>293</v>
      </c>
      <c r="D403" s="2">
        <v>35</v>
      </c>
      <c r="E403" s="2" t="s">
        <v>519</v>
      </c>
      <c r="F403" s="2" t="s">
        <v>523</v>
      </c>
      <c r="G403" s="2">
        <v>20</v>
      </c>
      <c r="H403" s="2" t="s">
        <v>526</v>
      </c>
      <c r="I403" s="2">
        <v>148.72999999999999</v>
      </c>
    </row>
    <row r="404" spans="1:9" x14ac:dyDescent="0.3">
      <c r="A404" s="2" t="s">
        <v>411</v>
      </c>
      <c r="B404" s="2" t="s">
        <v>512</v>
      </c>
      <c r="C404" s="2">
        <v>52</v>
      </c>
      <c r="D404" s="2">
        <v>54</v>
      </c>
      <c r="E404" s="2" t="s">
        <v>519</v>
      </c>
      <c r="F404" s="2" t="s">
        <v>523</v>
      </c>
      <c r="G404" s="2">
        <v>21</v>
      </c>
      <c r="H404" s="2" t="s">
        <v>527</v>
      </c>
      <c r="I404" s="2">
        <v>193.3</v>
      </c>
    </row>
    <row r="405" spans="1:9" x14ac:dyDescent="0.3">
      <c r="A405" s="2" t="s">
        <v>412</v>
      </c>
      <c r="B405" s="2" t="s">
        <v>510</v>
      </c>
      <c r="C405" s="2">
        <v>189</v>
      </c>
      <c r="D405" s="2">
        <v>40</v>
      </c>
      <c r="E405" s="2" t="s">
        <v>516</v>
      </c>
      <c r="F405" s="2" t="s">
        <v>520</v>
      </c>
      <c r="G405" s="2">
        <v>16</v>
      </c>
      <c r="H405" s="2" t="s">
        <v>525</v>
      </c>
      <c r="I405" s="2">
        <v>181.46</v>
      </c>
    </row>
    <row r="406" spans="1:9" x14ac:dyDescent="0.3">
      <c r="A406" s="2" t="s">
        <v>413</v>
      </c>
      <c r="B406" s="2" t="s">
        <v>513</v>
      </c>
      <c r="C406" s="2">
        <v>42</v>
      </c>
      <c r="D406" s="2">
        <v>36</v>
      </c>
      <c r="E406" s="2" t="s">
        <v>517</v>
      </c>
      <c r="F406" s="2" t="s">
        <v>521</v>
      </c>
      <c r="G406" s="2">
        <v>17</v>
      </c>
      <c r="H406" s="2" t="s">
        <v>526</v>
      </c>
      <c r="I406" s="2">
        <v>196.85</v>
      </c>
    </row>
    <row r="407" spans="1:9" x14ac:dyDescent="0.3">
      <c r="A407" s="2" t="s">
        <v>414</v>
      </c>
      <c r="B407" s="2" t="s">
        <v>515</v>
      </c>
      <c r="C407" s="2">
        <v>410</v>
      </c>
      <c r="D407" s="2">
        <v>27</v>
      </c>
      <c r="E407" s="2" t="s">
        <v>518</v>
      </c>
      <c r="F407" s="2" t="s">
        <v>522</v>
      </c>
      <c r="G407" s="2">
        <v>5</v>
      </c>
      <c r="H407" s="2" t="s">
        <v>528</v>
      </c>
      <c r="I407" s="2">
        <v>129.74</v>
      </c>
    </row>
    <row r="408" spans="1:9" x14ac:dyDescent="0.3">
      <c r="A408" s="2" t="s">
        <v>415</v>
      </c>
      <c r="B408" s="2" t="s">
        <v>514</v>
      </c>
      <c r="C408" s="2">
        <v>97</v>
      </c>
      <c r="D408" s="2">
        <v>47</v>
      </c>
      <c r="E408" s="2" t="s">
        <v>519</v>
      </c>
      <c r="F408" s="2" t="s">
        <v>523</v>
      </c>
      <c r="G408" s="2">
        <v>14</v>
      </c>
      <c r="H408" s="2" t="s">
        <v>528</v>
      </c>
      <c r="I408" s="2">
        <v>184.25</v>
      </c>
    </row>
    <row r="409" spans="1:9" x14ac:dyDescent="0.3">
      <c r="A409" s="2" t="s">
        <v>416</v>
      </c>
      <c r="B409" s="2" t="s">
        <v>511</v>
      </c>
      <c r="C409" s="2">
        <v>6</v>
      </c>
      <c r="D409" s="2">
        <v>53</v>
      </c>
      <c r="E409" s="2" t="s">
        <v>516</v>
      </c>
      <c r="F409" s="2" t="s">
        <v>520</v>
      </c>
      <c r="G409" s="2">
        <v>4</v>
      </c>
      <c r="H409" s="2" t="s">
        <v>528</v>
      </c>
      <c r="I409" s="2">
        <v>74.739999999999995</v>
      </c>
    </row>
    <row r="410" spans="1:9" x14ac:dyDescent="0.3">
      <c r="A410" s="2" t="s">
        <v>417</v>
      </c>
      <c r="B410" s="2" t="s">
        <v>511</v>
      </c>
      <c r="C410" s="2">
        <v>394</v>
      </c>
      <c r="D410" s="2">
        <v>29</v>
      </c>
      <c r="E410" s="2" t="s">
        <v>517</v>
      </c>
      <c r="F410" s="2" t="s">
        <v>521</v>
      </c>
      <c r="G410" s="2">
        <v>8</v>
      </c>
      <c r="H410" s="2" t="s">
        <v>527</v>
      </c>
      <c r="I410" s="2">
        <v>119.03</v>
      </c>
    </row>
    <row r="411" spans="1:9" x14ac:dyDescent="0.3">
      <c r="A411" s="2" t="s">
        <v>418</v>
      </c>
      <c r="B411" s="2" t="s">
        <v>511</v>
      </c>
      <c r="C411" s="2">
        <v>289</v>
      </c>
      <c r="D411" s="2">
        <v>47</v>
      </c>
      <c r="E411" s="2" t="s">
        <v>517</v>
      </c>
      <c r="F411" s="2" t="s">
        <v>521</v>
      </c>
      <c r="G411" s="2">
        <v>15</v>
      </c>
      <c r="H411" s="2" t="s">
        <v>526</v>
      </c>
      <c r="I411" s="2">
        <v>37.590000000000003</v>
      </c>
    </row>
    <row r="412" spans="1:9" x14ac:dyDescent="0.3">
      <c r="A412" s="2" t="s">
        <v>419</v>
      </c>
      <c r="B412" s="2" t="s">
        <v>512</v>
      </c>
      <c r="C412" s="2">
        <v>96</v>
      </c>
      <c r="D412" s="2">
        <v>25</v>
      </c>
      <c r="E412" s="2" t="s">
        <v>518</v>
      </c>
      <c r="F412" s="2" t="s">
        <v>522</v>
      </c>
      <c r="G412" s="2">
        <v>9</v>
      </c>
      <c r="H412" s="2" t="s">
        <v>527</v>
      </c>
      <c r="I412" s="2">
        <v>148.58000000000001</v>
      </c>
    </row>
    <row r="413" spans="1:9" x14ac:dyDescent="0.3">
      <c r="A413" s="2" t="s">
        <v>420</v>
      </c>
      <c r="B413" s="2" t="s">
        <v>515</v>
      </c>
      <c r="C413" s="2">
        <v>36</v>
      </c>
      <c r="D413" s="2">
        <v>86</v>
      </c>
      <c r="E413" s="2" t="s">
        <v>517</v>
      </c>
      <c r="F413" s="2" t="s">
        <v>521</v>
      </c>
      <c r="G413" s="2">
        <v>4</v>
      </c>
      <c r="H413" s="2" t="s">
        <v>524</v>
      </c>
      <c r="I413" s="2">
        <v>182.76</v>
      </c>
    </row>
    <row r="414" spans="1:9" x14ac:dyDescent="0.3">
      <c r="A414" s="2" t="s">
        <v>421</v>
      </c>
      <c r="B414" s="2" t="s">
        <v>515</v>
      </c>
      <c r="C414" s="2">
        <v>82</v>
      </c>
      <c r="D414" s="2">
        <v>26</v>
      </c>
      <c r="E414" s="2" t="s">
        <v>519</v>
      </c>
      <c r="F414" s="2" t="s">
        <v>523</v>
      </c>
      <c r="G414" s="2">
        <v>9</v>
      </c>
      <c r="H414" s="2" t="s">
        <v>526</v>
      </c>
      <c r="I414" s="2">
        <v>24.11</v>
      </c>
    </row>
    <row r="415" spans="1:9" x14ac:dyDescent="0.3">
      <c r="A415" s="2" t="s">
        <v>422</v>
      </c>
      <c r="B415" s="2" t="s">
        <v>512</v>
      </c>
      <c r="C415" s="2">
        <v>471</v>
      </c>
      <c r="D415" s="2">
        <v>74</v>
      </c>
      <c r="E415" s="2" t="s">
        <v>519</v>
      </c>
      <c r="F415" s="2" t="s">
        <v>523</v>
      </c>
      <c r="G415" s="2">
        <v>19</v>
      </c>
      <c r="H415" s="2" t="s">
        <v>524</v>
      </c>
      <c r="I415" s="2">
        <v>185.92</v>
      </c>
    </row>
    <row r="416" spans="1:9" x14ac:dyDescent="0.3">
      <c r="A416" s="2" t="s">
        <v>423</v>
      </c>
      <c r="B416" s="2" t="s">
        <v>510</v>
      </c>
      <c r="C416" s="2">
        <v>12</v>
      </c>
      <c r="D416" s="2">
        <v>61</v>
      </c>
      <c r="E416" s="2" t="s">
        <v>516</v>
      </c>
      <c r="F416" s="2" t="s">
        <v>520</v>
      </c>
      <c r="G416" s="2">
        <v>16</v>
      </c>
      <c r="H416" s="2" t="s">
        <v>528</v>
      </c>
      <c r="I416" s="2">
        <v>9.2799999999999994</v>
      </c>
    </row>
    <row r="417" spans="1:9" x14ac:dyDescent="0.3">
      <c r="A417" s="2" t="s">
        <v>424</v>
      </c>
      <c r="B417" s="2" t="s">
        <v>513</v>
      </c>
      <c r="C417" s="2">
        <v>119</v>
      </c>
      <c r="D417" s="2">
        <v>65</v>
      </c>
      <c r="E417" s="2" t="s">
        <v>519</v>
      </c>
      <c r="F417" s="2" t="s">
        <v>523</v>
      </c>
      <c r="G417" s="2">
        <v>17</v>
      </c>
      <c r="H417" s="2" t="s">
        <v>526</v>
      </c>
      <c r="I417" s="2">
        <v>18.14</v>
      </c>
    </row>
    <row r="418" spans="1:9" x14ac:dyDescent="0.3">
      <c r="A418" s="2" t="s">
        <v>425</v>
      </c>
      <c r="B418" s="2" t="s">
        <v>511</v>
      </c>
      <c r="C418" s="2">
        <v>220</v>
      </c>
      <c r="D418" s="2">
        <v>22</v>
      </c>
      <c r="E418" s="2" t="s">
        <v>518</v>
      </c>
      <c r="F418" s="2" t="s">
        <v>522</v>
      </c>
      <c r="G418" s="2">
        <v>15</v>
      </c>
      <c r="H418" s="2" t="s">
        <v>524</v>
      </c>
      <c r="I418" s="2">
        <v>130.05000000000001</v>
      </c>
    </row>
    <row r="419" spans="1:9" x14ac:dyDescent="0.3">
      <c r="A419" s="2" t="s">
        <v>426</v>
      </c>
      <c r="B419" s="2" t="s">
        <v>515</v>
      </c>
      <c r="C419" s="2">
        <v>234</v>
      </c>
      <c r="D419" s="2">
        <v>44</v>
      </c>
      <c r="E419" s="2" t="s">
        <v>517</v>
      </c>
      <c r="F419" s="2" t="s">
        <v>521</v>
      </c>
      <c r="G419" s="2">
        <v>5</v>
      </c>
      <c r="H419" s="2" t="s">
        <v>525</v>
      </c>
      <c r="I419" s="2">
        <v>50.51</v>
      </c>
    </row>
    <row r="420" spans="1:9" x14ac:dyDescent="0.3">
      <c r="A420" s="2" t="s">
        <v>427</v>
      </c>
      <c r="B420" s="2" t="s">
        <v>511</v>
      </c>
      <c r="C420" s="2">
        <v>241</v>
      </c>
      <c r="D420" s="2">
        <v>72</v>
      </c>
      <c r="E420" s="2" t="s">
        <v>519</v>
      </c>
      <c r="F420" s="2" t="s">
        <v>523</v>
      </c>
      <c r="G420" s="2">
        <v>5</v>
      </c>
      <c r="H420" s="2" t="s">
        <v>525</v>
      </c>
      <c r="I420" s="2">
        <v>186.5</v>
      </c>
    </row>
    <row r="421" spans="1:9" x14ac:dyDescent="0.3">
      <c r="A421" s="2" t="s">
        <v>428</v>
      </c>
      <c r="B421" s="2" t="s">
        <v>512</v>
      </c>
      <c r="C421" s="2">
        <v>444</v>
      </c>
      <c r="D421" s="2">
        <v>81</v>
      </c>
      <c r="E421" s="2" t="s">
        <v>516</v>
      </c>
      <c r="F421" s="2" t="s">
        <v>520</v>
      </c>
      <c r="G421" s="2">
        <v>15</v>
      </c>
      <c r="H421" s="2" t="s">
        <v>525</v>
      </c>
      <c r="I421" s="2">
        <v>3.86</v>
      </c>
    </row>
    <row r="422" spans="1:9" x14ac:dyDescent="0.3">
      <c r="A422" s="2" t="s">
        <v>429</v>
      </c>
      <c r="B422" s="2" t="s">
        <v>514</v>
      </c>
      <c r="C422" s="2">
        <v>266</v>
      </c>
      <c r="D422" s="2">
        <v>30</v>
      </c>
      <c r="E422" s="2" t="s">
        <v>518</v>
      </c>
      <c r="F422" s="2" t="s">
        <v>522</v>
      </c>
      <c r="G422" s="2">
        <v>18</v>
      </c>
      <c r="H422" s="2" t="s">
        <v>527</v>
      </c>
      <c r="I422" s="2">
        <v>99.64</v>
      </c>
    </row>
    <row r="423" spans="1:9" x14ac:dyDescent="0.3">
      <c r="A423" s="2" t="s">
        <v>430</v>
      </c>
      <c r="B423" s="2" t="s">
        <v>513</v>
      </c>
      <c r="C423" s="2">
        <v>72</v>
      </c>
      <c r="D423" s="2">
        <v>24</v>
      </c>
      <c r="E423" s="2" t="s">
        <v>519</v>
      </c>
      <c r="F423" s="2" t="s">
        <v>523</v>
      </c>
      <c r="G423" s="2">
        <v>18</v>
      </c>
      <c r="H423" s="2" t="s">
        <v>528</v>
      </c>
      <c r="I423" s="2">
        <v>22.11</v>
      </c>
    </row>
    <row r="424" spans="1:9" x14ac:dyDescent="0.3">
      <c r="A424" s="2" t="s">
        <v>431</v>
      </c>
      <c r="B424" s="2" t="s">
        <v>511</v>
      </c>
      <c r="C424" s="2">
        <v>310</v>
      </c>
      <c r="D424" s="2">
        <v>29</v>
      </c>
      <c r="E424" s="2" t="s">
        <v>517</v>
      </c>
      <c r="F424" s="2" t="s">
        <v>521</v>
      </c>
      <c r="G424" s="2">
        <v>18</v>
      </c>
      <c r="H424" s="2" t="s">
        <v>528</v>
      </c>
      <c r="I424" s="2">
        <v>111.67</v>
      </c>
    </row>
    <row r="425" spans="1:9" x14ac:dyDescent="0.3">
      <c r="A425" s="2" t="s">
        <v>432</v>
      </c>
      <c r="B425" s="2" t="s">
        <v>515</v>
      </c>
      <c r="C425" s="2">
        <v>239</v>
      </c>
      <c r="D425" s="2">
        <v>61</v>
      </c>
      <c r="E425" s="2" t="s">
        <v>516</v>
      </c>
      <c r="F425" s="2" t="s">
        <v>520</v>
      </c>
      <c r="G425" s="2">
        <v>4</v>
      </c>
      <c r="H425" s="2" t="s">
        <v>526</v>
      </c>
      <c r="I425" s="2">
        <v>197.31</v>
      </c>
    </row>
    <row r="426" spans="1:9" x14ac:dyDescent="0.3">
      <c r="A426" s="2" t="s">
        <v>433</v>
      </c>
      <c r="B426" s="2" t="s">
        <v>509</v>
      </c>
      <c r="C426" s="2">
        <v>479</v>
      </c>
      <c r="D426" s="2">
        <v>78</v>
      </c>
      <c r="E426" s="2" t="s">
        <v>519</v>
      </c>
      <c r="F426" s="2" t="s">
        <v>523</v>
      </c>
      <c r="G426" s="2">
        <v>21</v>
      </c>
      <c r="H426" s="2" t="s">
        <v>525</v>
      </c>
      <c r="I426" s="2">
        <v>130.76</v>
      </c>
    </row>
    <row r="427" spans="1:9" x14ac:dyDescent="0.3">
      <c r="A427" s="2" t="s">
        <v>434</v>
      </c>
      <c r="B427" s="2" t="s">
        <v>515</v>
      </c>
      <c r="C427" s="2">
        <v>198</v>
      </c>
      <c r="D427" s="2">
        <v>21</v>
      </c>
      <c r="E427" s="2" t="s">
        <v>519</v>
      </c>
      <c r="F427" s="2" t="s">
        <v>523</v>
      </c>
      <c r="G427" s="2">
        <v>14</v>
      </c>
      <c r="H427" s="2" t="s">
        <v>527</v>
      </c>
      <c r="I427" s="2">
        <v>74.3</v>
      </c>
    </row>
    <row r="428" spans="1:9" x14ac:dyDescent="0.3">
      <c r="A428" s="2" t="s">
        <v>435</v>
      </c>
      <c r="B428" s="2" t="s">
        <v>510</v>
      </c>
      <c r="C428" s="2">
        <v>383</v>
      </c>
      <c r="D428" s="2">
        <v>90</v>
      </c>
      <c r="E428" s="2" t="s">
        <v>516</v>
      </c>
      <c r="F428" s="2" t="s">
        <v>520</v>
      </c>
      <c r="G428" s="2">
        <v>20</v>
      </c>
      <c r="H428" s="2" t="s">
        <v>525</v>
      </c>
      <c r="I428" s="2">
        <v>154.76</v>
      </c>
    </row>
    <row r="429" spans="1:9" x14ac:dyDescent="0.3">
      <c r="A429" s="2" t="s">
        <v>436</v>
      </c>
      <c r="B429" s="2" t="s">
        <v>513</v>
      </c>
      <c r="C429" s="2">
        <v>55</v>
      </c>
      <c r="D429" s="2">
        <v>87</v>
      </c>
      <c r="E429" s="2" t="s">
        <v>517</v>
      </c>
      <c r="F429" s="2" t="s">
        <v>521</v>
      </c>
      <c r="G429" s="2">
        <v>3</v>
      </c>
      <c r="H429" s="2" t="s">
        <v>524</v>
      </c>
      <c r="I429" s="2">
        <v>27.69</v>
      </c>
    </row>
    <row r="430" spans="1:9" x14ac:dyDescent="0.3">
      <c r="A430" s="2" t="s">
        <v>437</v>
      </c>
      <c r="B430" s="2" t="s">
        <v>515</v>
      </c>
      <c r="C430" s="2">
        <v>421</v>
      </c>
      <c r="D430" s="2">
        <v>36</v>
      </c>
      <c r="E430" s="2" t="s">
        <v>517</v>
      </c>
      <c r="F430" s="2" t="s">
        <v>521</v>
      </c>
      <c r="G430" s="2">
        <v>9</v>
      </c>
      <c r="H430" s="2" t="s">
        <v>525</v>
      </c>
      <c r="I430" s="2">
        <v>166.82</v>
      </c>
    </row>
    <row r="431" spans="1:9" x14ac:dyDescent="0.3">
      <c r="A431" s="2" t="s">
        <v>438</v>
      </c>
      <c r="B431" s="2" t="s">
        <v>510</v>
      </c>
      <c r="C431" s="2">
        <v>348</v>
      </c>
      <c r="D431" s="2">
        <v>20</v>
      </c>
      <c r="E431" s="2" t="s">
        <v>517</v>
      </c>
      <c r="F431" s="2" t="s">
        <v>521</v>
      </c>
      <c r="G431" s="2">
        <v>7</v>
      </c>
      <c r="H431" s="2" t="s">
        <v>526</v>
      </c>
      <c r="I431" s="2">
        <v>140.53</v>
      </c>
    </row>
    <row r="432" spans="1:9" x14ac:dyDescent="0.3">
      <c r="A432" s="2" t="s">
        <v>439</v>
      </c>
      <c r="B432" s="2" t="s">
        <v>509</v>
      </c>
      <c r="C432" s="2">
        <v>174</v>
      </c>
      <c r="D432" s="2">
        <v>44</v>
      </c>
      <c r="E432" s="2" t="s">
        <v>517</v>
      </c>
      <c r="F432" s="2" t="s">
        <v>521</v>
      </c>
      <c r="G432" s="2">
        <v>4</v>
      </c>
      <c r="H432" s="2" t="s">
        <v>526</v>
      </c>
      <c r="I432" s="2">
        <v>168.76</v>
      </c>
    </row>
    <row r="433" spans="1:9" x14ac:dyDescent="0.3">
      <c r="A433" s="2" t="s">
        <v>440</v>
      </c>
      <c r="B433" s="2" t="s">
        <v>515</v>
      </c>
      <c r="C433" s="2">
        <v>342</v>
      </c>
      <c r="D433" s="2">
        <v>36</v>
      </c>
      <c r="E433" s="2" t="s">
        <v>518</v>
      </c>
      <c r="F433" s="2" t="s">
        <v>522</v>
      </c>
      <c r="G433" s="2">
        <v>4</v>
      </c>
      <c r="H433" s="2" t="s">
        <v>525</v>
      </c>
      <c r="I433" s="2">
        <v>56.35</v>
      </c>
    </row>
    <row r="434" spans="1:9" x14ac:dyDescent="0.3">
      <c r="A434" s="2" t="s">
        <v>441</v>
      </c>
      <c r="B434" s="2" t="s">
        <v>512</v>
      </c>
      <c r="C434" s="2">
        <v>439</v>
      </c>
      <c r="D434" s="2">
        <v>58</v>
      </c>
      <c r="E434" s="2" t="s">
        <v>518</v>
      </c>
      <c r="F434" s="2" t="s">
        <v>522</v>
      </c>
      <c r="G434" s="2">
        <v>18</v>
      </c>
      <c r="H434" s="2" t="s">
        <v>526</v>
      </c>
      <c r="I434" s="2">
        <v>104.18</v>
      </c>
    </row>
    <row r="435" spans="1:9" x14ac:dyDescent="0.3">
      <c r="A435" s="2" t="s">
        <v>442</v>
      </c>
      <c r="B435" s="2" t="s">
        <v>512</v>
      </c>
      <c r="C435" s="2">
        <v>65</v>
      </c>
      <c r="D435" s="2">
        <v>25</v>
      </c>
      <c r="E435" s="2" t="s">
        <v>518</v>
      </c>
      <c r="F435" s="2" t="s">
        <v>522</v>
      </c>
      <c r="G435" s="2">
        <v>18</v>
      </c>
      <c r="H435" s="2" t="s">
        <v>524</v>
      </c>
      <c r="I435" s="2">
        <v>187.89</v>
      </c>
    </row>
    <row r="436" spans="1:9" x14ac:dyDescent="0.3">
      <c r="A436" s="2" t="s">
        <v>443</v>
      </c>
      <c r="B436" s="2" t="s">
        <v>509</v>
      </c>
      <c r="C436" s="2">
        <v>420</v>
      </c>
      <c r="D436" s="2">
        <v>48</v>
      </c>
      <c r="E436" s="2" t="s">
        <v>517</v>
      </c>
      <c r="F436" s="2" t="s">
        <v>521</v>
      </c>
      <c r="G436" s="2">
        <v>3</v>
      </c>
      <c r="H436" s="2" t="s">
        <v>526</v>
      </c>
      <c r="I436" s="2">
        <v>85.74</v>
      </c>
    </row>
    <row r="437" spans="1:9" x14ac:dyDescent="0.3">
      <c r="A437" s="2" t="s">
        <v>444</v>
      </c>
      <c r="B437" s="2" t="s">
        <v>514</v>
      </c>
      <c r="C437" s="2">
        <v>338</v>
      </c>
      <c r="D437" s="2">
        <v>69</v>
      </c>
      <c r="E437" s="2" t="s">
        <v>518</v>
      </c>
      <c r="F437" s="2" t="s">
        <v>522</v>
      </c>
      <c r="G437" s="2">
        <v>11</v>
      </c>
      <c r="H437" s="2" t="s">
        <v>527</v>
      </c>
      <c r="I437" s="2">
        <v>130.62</v>
      </c>
    </row>
    <row r="438" spans="1:9" x14ac:dyDescent="0.3">
      <c r="A438" s="2" t="s">
        <v>445</v>
      </c>
      <c r="B438" s="2" t="s">
        <v>515</v>
      </c>
      <c r="C438" s="2">
        <v>493</v>
      </c>
      <c r="D438" s="2">
        <v>50</v>
      </c>
      <c r="E438" s="2" t="s">
        <v>519</v>
      </c>
      <c r="F438" s="2" t="s">
        <v>523</v>
      </c>
      <c r="G438" s="2">
        <v>16</v>
      </c>
      <c r="H438" s="2" t="s">
        <v>527</v>
      </c>
      <c r="I438" s="2">
        <v>114.8</v>
      </c>
    </row>
    <row r="439" spans="1:9" x14ac:dyDescent="0.3">
      <c r="A439" s="2" t="s">
        <v>446</v>
      </c>
      <c r="B439" s="2" t="s">
        <v>510</v>
      </c>
      <c r="C439" s="2">
        <v>24</v>
      </c>
      <c r="D439" s="2">
        <v>46</v>
      </c>
      <c r="E439" s="2" t="s">
        <v>516</v>
      </c>
      <c r="F439" s="2" t="s">
        <v>520</v>
      </c>
      <c r="G439" s="2">
        <v>14</v>
      </c>
      <c r="H439" s="2" t="s">
        <v>528</v>
      </c>
      <c r="I439" s="2">
        <v>150.9</v>
      </c>
    </row>
    <row r="440" spans="1:9" x14ac:dyDescent="0.3">
      <c r="A440" s="2" t="s">
        <v>447</v>
      </c>
      <c r="B440" s="2" t="s">
        <v>515</v>
      </c>
      <c r="C440" s="2">
        <v>362</v>
      </c>
      <c r="D440" s="2">
        <v>97</v>
      </c>
      <c r="E440" s="2" t="s">
        <v>516</v>
      </c>
      <c r="F440" s="2" t="s">
        <v>520</v>
      </c>
      <c r="G440" s="2">
        <v>8</v>
      </c>
      <c r="H440" s="2" t="s">
        <v>528</v>
      </c>
      <c r="I440" s="2">
        <v>13.07</v>
      </c>
    </row>
    <row r="441" spans="1:9" x14ac:dyDescent="0.3">
      <c r="A441" s="2" t="s">
        <v>448</v>
      </c>
      <c r="B441" s="2" t="s">
        <v>514</v>
      </c>
      <c r="C441" s="2">
        <v>278</v>
      </c>
      <c r="D441" s="2">
        <v>97</v>
      </c>
      <c r="E441" s="2" t="s">
        <v>518</v>
      </c>
      <c r="F441" s="2" t="s">
        <v>522</v>
      </c>
      <c r="G441" s="2">
        <v>3</v>
      </c>
      <c r="H441" s="2" t="s">
        <v>528</v>
      </c>
      <c r="I441" s="2">
        <v>58.03</v>
      </c>
    </row>
    <row r="442" spans="1:9" x14ac:dyDescent="0.3">
      <c r="A442" s="2" t="s">
        <v>449</v>
      </c>
      <c r="B442" s="2" t="s">
        <v>514</v>
      </c>
      <c r="C442" s="2">
        <v>421</v>
      </c>
      <c r="D442" s="2">
        <v>100</v>
      </c>
      <c r="E442" s="2" t="s">
        <v>519</v>
      </c>
      <c r="F442" s="2" t="s">
        <v>523</v>
      </c>
      <c r="G442" s="2">
        <v>21</v>
      </c>
      <c r="H442" s="2" t="s">
        <v>525</v>
      </c>
      <c r="I442" s="2">
        <v>51.69</v>
      </c>
    </row>
    <row r="443" spans="1:9" x14ac:dyDescent="0.3">
      <c r="A443" s="2" t="s">
        <v>450</v>
      </c>
      <c r="B443" s="2" t="s">
        <v>514</v>
      </c>
      <c r="C443" s="2">
        <v>449</v>
      </c>
      <c r="D443" s="2">
        <v>52</v>
      </c>
      <c r="E443" s="2" t="s">
        <v>519</v>
      </c>
      <c r="F443" s="2" t="s">
        <v>523</v>
      </c>
      <c r="G443" s="2">
        <v>21</v>
      </c>
      <c r="H443" s="2" t="s">
        <v>525</v>
      </c>
      <c r="I443" s="2">
        <v>168.89</v>
      </c>
    </row>
    <row r="444" spans="1:9" x14ac:dyDescent="0.3">
      <c r="A444" s="2" t="s">
        <v>451</v>
      </c>
      <c r="B444" s="2" t="s">
        <v>515</v>
      </c>
      <c r="C444" s="2">
        <v>361</v>
      </c>
      <c r="D444" s="2">
        <v>92</v>
      </c>
      <c r="E444" s="2" t="s">
        <v>519</v>
      </c>
      <c r="F444" s="2" t="s">
        <v>523</v>
      </c>
      <c r="G444" s="2">
        <v>6</v>
      </c>
      <c r="H444" s="2" t="s">
        <v>524</v>
      </c>
      <c r="I444" s="2">
        <v>78.41</v>
      </c>
    </row>
    <row r="445" spans="1:9" x14ac:dyDescent="0.3">
      <c r="A445" s="2" t="s">
        <v>452</v>
      </c>
      <c r="B445" s="2" t="s">
        <v>510</v>
      </c>
      <c r="C445" s="2">
        <v>258</v>
      </c>
      <c r="D445" s="2">
        <v>62</v>
      </c>
      <c r="E445" s="2" t="s">
        <v>519</v>
      </c>
      <c r="F445" s="2" t="s">
        <v>523</v>
      </c>
      <c r="G445" s="2">
        <v>18</v>
      </c>
      <c r="H445" s="2" t="s">
        <v>528</v>
      </c>
      <c r="I445" s="2">
        <v>40.72</v>
      </c>
    </row>
    <row r="446" spans="1:9" x14ac:dyDescent="0.3">
      <c r="A446" s="2" t="s">
        <v>453</v>
      </c>
      <c r="B446" s="2" t="s">
        <v>511</v>
      </c>
      <c r="C446" s="2">
        <v>330</v>
      </c>
      <c r="D446" s="2">
        <v>75</v>
      </c>
      <c r="E446" s="2" t="s">
        <v>518</v>
      </c>
      <c r="F446" s="2" t="s">
        <v>522</v>
      </c>
      <c r="G446" s="2">
        <v>11</v>
      </c>
      <c r="H446" s="2" t="s">
        <v>528</v>
      </c>
      <c r="I446" s="2">
        <v>33.4</v>
      </c>
    </row>
    <row r="447" spans="1:9" x14ac:dyDescent="0.3">
      <c r="A447" s="2" t="s">
        <v>454</v>
      </c>
      <c r="B447" s="2" t="s">
        <v>511</v>
      </c>
      <c r="C447" s="2">
        <v>83</v>
      </c>
      <c r="D447" s="2">
        <v>88</v>
      </c>
      <c r="E447" s="2" t="s">
        <v>517</v>
      </c>
      <c r="F447" s="2" t="s">
        <v>521</v>
      </c>
      <c r="G447" s="2">
        <v>12</v>
      </c>
      <c r="H447" s="2" t="s">
        <v>528</v>
      </c>
      <c r="I447" s="2">
        <v>135.38999999999999</v>
      </c>
    </row>
    <row r="448" spans="1:9" x14ac:dyDescent="0.3">
      <c r="A448" s="2" t="s">
        <v>455</v>
      </c>
      <c r="B448" s="2" t="s">
        <v>509</v>
      </c>
      <c r="C448" s="2">
        <v>186</v>
      </c>
      <c r="D448" s="2">
        <v>41</v>
      </c>
      <c r="E448" s="2" t="s">
        <v>519</v>
      </c>
      <c r="F448" s="2" t="s">
        <v>523</v>
      </c>
      <c r="G448" s="2">
        <v>17</v>
      </c>
      <c r="H448" s="2" t="s">
        <v>525</v>
      </c>
      <c r="I448" s="2">
        <v>54.66</v>
      </c>
    </row>
    <row r="449" spans="1:9" x14ac:dyDescent="0.3">
      <c r="A449" s="2" t="s">
        <v>456</v>
      </c>
      <c r="B449" s="2" t="s">
        <v>514</v>
      </c>
      <c r="C449" s="2">
        <v>63</v>
      </c>
      <c r="D449" s="2">
        <v>71</v>
      </c>
      <c r="E449" s="2" t="s">
        <v>518</v>
      </c>
      <c r="F449" s="2" t="s">
        <v>522</v>
      </c>
      <c r="G449" s="2">
        <v>6</v>
      </c>
      <c r="H449" s="2" t="s">
        <v>525</v>
      </c>
      <c r="I449" s="2">
        <v>152.72</v>
      </c>
    </row>
    <row r="450" spans="1:9" x14ac:dyDescent="0.3">
      <c r="A450" s="2" t="s">
        <v>457</v>
      </c>
      <c r="B450" s="2" t="s">
        <v>510</v>
      </c>
      <c r="C450" s="2">
        <v>494</v>
      </c>
      <c r="D450" s="2">
        <v>60</v>
      </c>
      <c r="E450" s="2" t="s">
        <v>519</v>
      </c>
      <c r="F450" s="2" t="s">
        <v>523</v>
      </c>
      <c r="G450" s="2">
        <v>3</v>
      </c>
      <c r="H450" s="2" t="s">
        <v>526</v>
      </c>
      <c r="I450" s="2">
        <v>160.38999999999999</v>
      </c>
    </row>
    <row r="451" spans="1:9" x14ac:dyDescent="0.3">
      <c r="A451" s="2" t="s">
        <v>458</v>
      </c>
      <c r="B451" s="2" t="s">
        <v>509</v>
      </c>
      <c r="C451" s="2">
        <v>173</v>
      </c>
      <c r="D451" s="2">
        <v>41</v>
      </c>
      <c r="E451" s="2" t="s">
        <v>518</v>
      </c>
      <c r="F451" s="2" t="s">
        <v>522</v>
      </c>
      <c r="G451" s="2">
        <v>18</v>
      </c>
      <c r="H451" s="2" t="s">
        <v>528</v>
      </c>
      <c r="I451" s="2">
        <v>172.6</v>
      </c>
    </row>
    <row r="452" spans="1:9" x14ac:dyDescent="0.3">
      <c r="A452" s="2" t="s">
        <v>459</v>
      </c>
      <c r="B452" s="2" t="s">
        <v>515</v>
      </c>
      <c r="C452" s="2">
        <v>146</v>
      </c>
      <c r="D452" s="2">
        <v>64</v>
      </c>
      <c r="E452" s="2" t="s">
        <v>517</v>
      </c>
      <c r="F452" s="2" t="s">
        <v>521</v>
      </c>
      <c r="G452" s="2">
        <v>8</v>
      </c>
      <c r="H452" s="2" t="s">
        <v>527</v>
      </c>
      <c r="I452" s="2">
        <v>178.01</v>
      </c>
    </row>
    <row r="453" spans="1:9" x14ac:dyDescent="0.3">
      <c r="A453" s="2" t="s">
        <v>460</v>
      </c>
      <c r="B453" s="2" t="s">
        <v>511</v>
      </c>
      <c r="C453" s="2">
        <v>8</v>
      </c>
      <c r="D453" s="2">
        <v>84</v>
      </c>
      <c r="E453" s="2" t="s">
        <v>517</v>
      </c>
      <c r="F453" s="2" t="s">
        <v>521</v>
      </c>
      <c r="G453" s="2">
        <v>5</v>
      </c>
      <c r="H453" s="2" t="s">
        <v>526</v>
      </c>
      <c r="I453" s="2">
        <v>30.68</v>
      </c>
    </row>
    <row r="454" spans="1:9" x14ac:dyDescent="0.3">
      <c r="A454" s="2" t="s">
        <v>461</v>
      </c>
      <c r="B454" s="2" t="s">
        <v>513</v>
      </c>
      <c r="C454" s="2">
        <v>337</v>
      </c>
      <c r="D454" s="2">
        <v>93</v>
      </c>
      <c r="E454" s="2" t="s">
        <v>519</v>
      </c>
      <c r="F454" s="2" t="s">
        <v>523</v>
      </c>
      <c r="G454" s="2">
        <v>3</v>
      </c>
      <c r="H454" s="2" t="s">
        <v>524</v>
      </c>
      <c r="I454" s="2">
        <v>4.2</v>
      </c>
    </row>
    <row r="455" spans="1:9" x14ac:dyDescent="0.3">
      <c r="A455" s="2" t="s">
        <v>462</v>
      </c>
      <c r="B455" s="2" t="s">
        <v>515</v>
      </c>
      <c r="C455" s="2">
        <v>448</v>
      </c>
      <c r="D455" s="2">
        <v>69</v>
      </c>
      <c r="E455" s="2" t="s">
        <v>519</v>
      </c>
      <c r="F455" s="2" t="s">
        <v>523</v>
      </c>
      <c r="G455" s="2">
        <v>10</v>
      </c>
      <c r="H455" s="2" t="s">
        <v>524</v>
      </c>
      <c r="I455" s="2">
        <v>108.09</v>
      </c>
    </row>
    <row r="456" spans="1:9" x14ac:dyDescent="0.3">
      <c r="A456" s="2" t="s">
        <v>463</v>
      </c>
      <c r="B456" s="2" t="s">
        <v>515</v>
      </c>
      <c r="C456" s="2">
        <v>319</v>
      </c>
      <c r="D456" s="2">
        <v>36</v>
      </c>
      <c r="E456" s="2" t="s">
        <v>518</v>
      </c>
      <c r="F456" s="2" t="s">
        <v>522</v>
      </c>
      <c r="G456" s="2">
        <v>3</v>
      </c>
      <c r="H456" s="2" t="s">
        <v>528</v>
      </c>
      <c r="I456" s="2">
        <v>70.81</v>
      </c>
    </row>
    <row r="457" spans="1:9" x14ac:dyDescent="0.3">
      <c r="A457" s="2" t="s">
        <v>464</v>
      </c>
      <c r="B457" s="2" t="s">
        <v>515</v>
      </c>
      <c r="C457" s="2">
        <v>162</v>
      </c>
      <c r="D457" s="2">
        <v>84</v>
      </c>
      <c r="E457" s="2" t="s">
        <v>518</v>
      </c>
      <c r="F457" s="2" t="s">
        <v>522</v>
      </c>
      <c r="G457" s="2">
        <v>4</v>
      </c>
      <c r="H457" s="2" t="s">
        <v>528</v>
      </c>
      <c r="I457" s="2">
        <v>109.81</v>
      </c>
    </row>
    <row r="458" spans="1:9" x14ac:dyDescent="0.3">
      <c r="A458" s="2" t="s">
        <v>465</v>
      </c>
      <c r="B458" s="2" t="s">
        <v>512</v>
      </c>
      <c r="C458" s="2">
        <v>466</v>
      </c>
      <c r="D458" s="2">
        <v>66</v>
      </c>
      <c r="E458" s="2" t="s">
        <v>519</v>
      </c>
      <c r="F458" s="2" t="s">
        <v>523</v>
      </c>
      <c r="G458" s="2">
        <v>16</v>
      </c>
      <c r="H458" s="2" t="s">
        <v>528</v>
      </c>
      <c r="I458" s="2">
        <v>162.41</v>
      </c>
    </row>
    <row r="459" spans="1:9" x14ac:dyDescent="0.3">
      <c r="A459" s="2" t="s">
        <v>466</v>
      </c>
      <c r="B459" s="2" t="s">
        <v>514</v>
      </c>
      <c r="C459" s="2">
        <v>87</v>
      </c>
      <c r="D459" s="2">
        <v>91</v>
      </c>
      <c r="E459" s="2" t="s">
        <v>519</v>
      </c>
      <c r="F459" s="2" t="s">
        <v>523</v>
      </c>
      <c r="G459" s="2">
        <v>18</v>
      </c>
      <c r="H459" s="2" t="s">
        <v>526</v>
      </c>
      <c r="I459" s="2">
        <v>10.63</v>
      </c>
    </row>
    <row r="460" spans="1:9" x14ac:dyDescent="0.3">
      <c r="A460" s="2" t="s">
        <v>467</v>
      </c>
      <c r="B460" s="2" t="s">
        <v>510</v>
      </c>
      <c r="C460" s="2">
        <v>333</v>
      </c>
      <c r="D460" s="2">
        <v>20</v>
      </c>
      <c r="E460" s="2" t="s">
        <v>516</v>
      </c>
      <c r="F460" s="2" t="s">
        <v>520</v>
      </c>
      <c r="G460" s="2">
        <v>16</v>
      </c>
      <c r="H460" s="2" t="s">
        <v>524</v>
      </c>
      <c r="I460" s="2">
        <v>117.94</v>
      </c>
    </row>
    <row r="461" spans="1:9" x14ac:dyDescent="0.3">
      <c r="A461" s="2" t="s">
        <v>468</v>
      </c>
      <c r="B461" s="2" t="s">
        <v>510</v>
      </c>
      <c r="C461" s="2">
        <v>63</v>
      </c>
      <c r="D461" s="2">
        <v>100</v>
      </c>
      <c r="E461" s="2" t="s">
        <v>518</v>
      </c>
      <c r="F461" s="2" t="s">
        <v>522</v>
      </c>
      <c r="G461" s="2">
        <v>13</v>
      </c>
      <c r="H461" s="2" t="s">
        <v>526</v>
      </c>
      <c r="I461" s="2">
        <v>171.33</v>
      </c>
    </row>
    <row r="462" spans="1:9" x14ac:dyDescent="0.3">
      <c r="A462" s="2" t="s">
        <v>469</v>
      </c>
      <c r="B462" s="2" t="s">
        <v>510</v>
      </c>
      <c r="C462" s="2">
        <v>253</v>
      </c>
      <c r="D462" s="2">
        <v>49</v>
      </c>
      <c r="E462" s="2" t="s">
        <v>519</v>
      </c>
      <c r="F462" s="2" t="s">
        <v>523</v>
      </c>
      <c r="G462" s="2">
        <v>19</v>
      </c>
      <c r="H462" s="2" t="s">
        <v>525</v>
      </c>
      <c r="I462" s="2">
        <v>16.79</v>
      </c>
    </row>
    <row r="463" spans="1:9" x14ac:dyDescent="0.3">
      <c r="A463" s="2" t="s">
        <v>470</v>
      </c>
      <c r="B463" s="2" t="s">
        <v>515</v>
      </c>
      <c r="C463" s="2">
        <v>453</v>
      </c>
      <c r="D463" s="2">
        <v>88</v>
      </c>
      <c r="E463" s="2" t="s">
        <v>516</v>
      </c>
      <c r="F463" s="2" t="s">
        <v>520</v>
      </c>
      <c r="G463" s="2">
        <v>21</v>
      </c>
      <c r="H463" s="2" t="s">
        <v>526</v>
      </c>
      <c r="I463" s="2">
        <v>128.54</v>
      </c>
    </row>
    <row r="464" spans="1:9" x14ac:dyDescent="0.3">
      <c r="A464" s="2" t="s">
        <v>471</v>
      </c>
      <c r="B464" s="2" t="s">
        <v>509</v>
      </c>
      <c r="C464" s="2">
        <v>3</v>
      </c>
      <c r="D464" s="2">
        <v>57</v>
      </c>
      <c r="E464" s="2" t="s">
        <v>519</v>
      </c>
      <c r="F464" s="2" t="s">
        <v>523</v>
      </c>
      <c r="G464" s="2">
        <v>18</v>
      </c>
      <c r="H464" s="2" t="s">
        <v>527</v>
      </c>
      <c r="I464" s="2">
        <v>87.48</v>
      </c>
    </row>
    <row r="465" spans="1:9" x14ac:dyDescent="0.3">
      <c r="A465" s="2" t="s">
        <v>472</v>
      </c>
      <c r="B465" s="2" t="s">
        <v>515</v>
      </c>
      <c r="C465" s="2">
        <v>227</v>
      </c>
      <c r="D465" s="2">
        <v>21</v>
      </c>
      <c r="E465" s="2" t="s">
        <v>518</v>
      </c>
      <c r="F465" s="2" t="s">
        <v>522</v>
      </c>
      <c r="G465" s="2">
        <v>21</v>
      </c>
      <c r="H465" s="2" t="s">
        <v>527</v>
      </c>
      <c r="I465" s="2">
        <v>58.75</v>
      </c>
    </row>
    <row r="466" spans="1:9" x14ac:dyDescent="0.3">
      <c r="A466" s="2" t="s">
        <v>473</v>
      </c>
      <c r="B466" s="2" t="s">
        <v>511</v>
      </c>
      <c r="C466" s="2">
        <v>307</v>
      </c>
      <c r="D466" s="2">
        <v>29</v>
      </c>
      <c r="E466" s="2" t="s">
        <v>518</v>
      </c>
      <c r="F466" s="2" t="s">
        <v>522</v>
      </c>
      <c r="G466" s="2">
        <v>12</v>
      </c>
      <c r="H466" s="2" t="s">
        <v>527</v>
      </c>
      <c r="I466" s="2">
        <v>37.94</v>
      </c>
    </row>
    <row r="467" spans="1:9" x14ac:dyDescent="0.3">
      <c r="A467" s="2" t="s">
        <v>474</v>
      </c>
      <c r="B467" s="2" t="s">
        <v>513</v>
      </c>
      <c r="C467" s="2">
        <v>119</v>
      </c>
      <c r="D467" s="2">
        <v>60</v>
      </c>
      <c r="E467" s="2" t="s">
        <v>518</v>
      </c>
      <c r="F467" s="2" t="s">
        <v>522</v>
      </c>
      <c r="G467" s="2">
        <v>3</v>
      </c>
      <c r="H467" s="2" t="s">
        <v>526</v>
      </c>
      <c r="I467" s="2">
        <v>187.62</v>
      </c>
    </row>
    <row r="468" spans="1:9" x14ac:dyDescent="0.3">
      <c r="A468" s="2" t="s">
        <v>475</v>
      </c>
      <c r="B468" s="2" t="s">
        <v>514</v>
      </c>
      <c r="C468" s="2">
        <v>419</v>
      </c>
      <c r="D468" s="2">
        <v>27</v>
      </c>
      <c r="E468" s="2" t="s">
        <v>518</v>
      </c>
      <c r="F468" s="2" t="s">
        <v>522</v>
      </c>
      <c r="G468" s="2">
        <v>16</v>
      </c>
      <c r="H468" s="2" t="s">
        <v>525</v>
      </c>
      <c r="I468" s="2">
        <v>179.1</v>
      </c>
    </row>
    <row r="469" spans="1:9" x14ac:dyDescent="0.3">
      <c r="A469" s="2" t="s">
        <v>476</v>
      </c>
      <c r="B469" s="2" t="s">
        <v>511</v>
      </c>
      <c r="C469" s="2">
        <v>48</v>
      </c>
      <c r="D469" s="2">
        <v>27</v>
      </c>
      <c r="E469" s="2" t="s">
        <v>519</v>
      </c>
      <c r="F469" s="2" t="s">
        <v>523</v>
      </c>
      <c r="G469" s="2">
        <v>18</v>
      </c>
      <c r="H469" s="2" t="s">
        <v>527</v>
      </c>
      <c r="I469" s="2">
        <v>61.23</v>
      </c>
    </row>
    <row r="470" spans="1:9" x14ac:dyDescent="0.3">
      <c r="A470" s="2" t="s">
        <v>477</v>
      </c>
      <c r="B470" s="2" t="s">
        <v>512</v>
      </c>
      <c r="C470" s="2">
        <v>454</v>
      </c>
      <c r="D470" s="2">
        <v>53</v>
      </c>
      <c r="E470" s="2" t="s">
        <v>517</v>
      </c>
      <c r="F470" s="2" t="s">
        <v>521</v>
      </c>
      <c r="G470" s="2">
        <v>19</v>
      </c>
      <c r="H470" s="2" t="s">
        <v>527</v>
      </c>
      <c r="I470" s="2">
        <v>70.62</v>
      </c>
    </row>
    <row r="471" spans="1:9" x14ac:dyDescent="0.3">
      <c r="A471" s="2" t="s">
        <v>478</v>
      </c>
      <c r="B471" s="2" t="s">
        <v>515</v>
      </c>
      <c r="C471" s="2">
        <v>179</v>
      </c>
      <c r="D471" s="2">
        <v>59</v>
      </c>
      <c r="E471" s="2" t="s">
        <v>517</v>
      </c>
      <c r="F471" s="2" t="s">
        <v>521</v>
      </c>
      <c r="G471" s="2">
        <v>8</v>
      </c>
      <c r="H471" s="2" t="s">
        <v>524</v>
      </c>
      <c r="I471" s="2">
        <v>63.73</v>
      </c>
    </row>
    <row r="472" spans="1:9" x14ac:dyDescent="0.3">
      <c r="A472" s="2" t="s">
        <v>479</v>
      </c>
      <c r="B472" s="2" t="s">
        <v>513</v>
      </c>
      <c r="C472" s="2">
        <v>42</v>
      </c>
      <c r="D472" s="2">
        <v>26</v>
      </c>
      <c r="E472" s="2" t="s">
        <v>518</v>
      </c>
      <c r="F472" s="2" t="s">
        <v>522</v>
      </c>
      <c r="G472" s="2">
        <v>3</v>
      </c>
      <c r="H472" s="2" t="s">
        <v>526</v>
      </c>
      <c r="I472" s="2">
        <v>155.19999999999999</v>
      </c>
    </row>
    <row r="473" spans="1:9" x14ac:dyDescent="0.3">
      <c r="A473" s="2" t="s">
        <v>480</v>
      </c>
      <c r="B473" s="2" t="s">
        <v>510</v>
      </c>
      <c r="C473" s="2">
        <v>288</v>
      </c>
      <c r="D473" s="2">
        <v>38</v>
      </c>
      <c r="E473" s="2" t="s">
        <v>518</v>
      </c>
      <c r="F473" s="2" t="s">
        <v>522</v>
      </c>
      <c r="G473" s="2">
        <v>16</v>
      </c>
      <c r="H473" s="2" t="s">
        <v>524</v>
      </c>
      <c r="I473" s="2">
        <v>95.74</v>
      </c>
    </row>
    <row r="474" spans="1:9" x14ac:dyDescent="0.3">
      <c r="A474" s="2" t="s">
        <v>481</v>
      </c>
      <c r="B474" s="2" t="s">
        <v>515</v>
      </c>
      <c r="C474" s="2">
        <v>178</v>
      </c>
      <c r="D474" s="2">
        <v>67</v>
      </c>
      <c r="E474" s="2" t="s">
        <v>519</v>
      </c>
      <c r="F474" s="2" t="s">
        <v>523</v>
      </c>
      <c r="G474" s="2">
        <v>11</v>
      </c>
      <c r="H474" s="2" t="s">
        <v>525</v>
      </c>
      <c r="I474" s="2">
        <v>20.309999999999999</v>
      </c>
    </row>
    <row r="475" spans="1:9" x14ac:dyDescent="0.3">
      <c r="A475" s="2" t="s">
        <v>482</v>
      </c>
      <c r="B475" s="2" t="s">
        <v>509</v>
      </c>
      <c r="C475" s="2">
        <v>267</v>
      </c>
      <c r="D475" s="2">
        <v>24</v>
      </c>
      <c r="E475" s="2" t="s">
        <v>517</v>
      </c>
      <c r="F475" s="2" t="s">
        <v>521</v>
      </c>
      <c r="G475" s="2">
        <v>11</v>
      </c>
      <c r="H475" s="2" t="s">
        <v>527</v>
      </c>
      <c r="I475" s="2">
        <v>138.83000000000001</v>
      </c>
    </row>
    <row r="476" spans="1:9" x14ac:dyDescent="0.3">
      <c r="A476" s="2" t="s">
        <v>483</v>
      </c>
      <c r="B476" s="2" t="s">
        <v>512</v>
      </c>
      <c r="C476" s="2">
        <v>392</v>
      </c>
      <c r="D476" s="2">
        <v>91</v>
      </c>
      <c r="E476" s="2" t="s">
        <v>519</v>
      </c>
      <c r="F476" s="2" t="s">
        <v>523</v>
      </c>
      <c r="G476" s="2">
        <v>21</v>
      </c>
      <c r="H476" s="2" t="s">
        <v>526</v>
      </c>
      <c r="I476" s="2">
        <v>100.38</v>
      </c>
    </row>
    <row r="477" spans="1:9" x14ac:dyDescent="0.3">
      <c r="A477" s="2" t="s">
        <v>484</v>
      </c>
      <c r="B477" s="2" t="s">
        <v>511</v>
      </c>
      <c r="C477" s="2">
        <v>194</v>
      </c>
      <c r="D477" s="2">
        <v>81</v>
      </c>
      <c r="E477" s="2" t="s">
        <v>519</v>
      </c>
      <c r="F477" s="2" t="s">
        <v>523</v>
      </c>
      <c r="G477" s="2">
        <v>19</v>
      </c>
      <c r="H477" s="2" t="s">
        <v>525</v>
      </c>
      <c r="I477" s="2">
        <v>74.510000000000005</v>
      </c>
    </row>
    <row r="478" spans="1:9" x14ac:dyDescent="0.3">
      <c r="A478" s="2" t="s">
        <v>485</v>
      </c>
      <c r="B478" s="2" t="s">
        <v>512</v>
      </c>
      <c r="C478" s="2">
        <v>150</v>
      </c>
      <c r="D478" s="2">
        <v>82</v>
      </c>
      <c r="E478" s="2" t="s">
        <v>519</v>
      </c>
      <c r="F478" s="2" t="s">
        <v>523</v>
      </c>
      <c r="G478" s="2">
        <v>12</v>
      </c>
      <c r="H478" s="2" t="s">
        <v>526</v>
      </c>
      <c r="I478" s="2">
        <v>54.41</v>
      </c>
    </row>
    <row r="479" spans="1:9" x14ac:dyDescent="0.3">
      <c r="A479" s="2" t="s">
        <v>486</v>
      </c>
      <c r="B479" s="2" t="s">
        <v>510</v>
      </c>
      <c r="C479" s="2">
        <v>230</v>
      </c>
      <c r="D479" s="2">
        <v>76</v>
      </c>
      <c r="E479" s="2" t="s">
        <v>519</v>
      </c>
      <c r="F479" s="2" t="s">
        <v>523</v>
      </c>
      <c r="G479" s="2">
        <v>18</v>
      </c>
      <c r="H479" s="2" t="s">
        <v>524</v>
      </c>
      <c r="I479" s="2">
        <v>164.84</v>
      </c>
    </row>
    <row r="480" spans="1:9" x14ac:dyDescent="0.3">
      <c r="A480" s="2" t="s">
        <v>487</v>
      </c>
      <c r="B480" s="2" t="s">
        <v>512</v>
      </c>
      <c r="C480" s="2">
        <v>345</v>
      </c>
      <c r="D480" s="2">
        <v>60</v>
      </c>
      <c r="E480" s="2" t="s">
        <v>516</v>
      </c>
      <c r="F480" s="2" t="s">
        <v>520</v>
      </c>
      <c r="G480" s="2">
        <v>12</v>
      </c>
      <c r="H480" s="2" t="s">
        <v>527</v>
      </c>
      <c r="I480" s="2">
        <v>73.89</v>
      </c>
    </row>
    <row r="481" spans="1:9" x14ac:dyDescent="0.3">
      <c r="A481" s="2" t="s">
        <v>488</v>
      </c>
      <c r="B481" s="2" t="s">
        <v>510</v>
      </c>
      <c r="C481" s="2">
        <v>115</v>
      </c>
      <c r="D481" s="2">
        <v>90</v>
      </c>
      <c r="E481" s="2" t="s">
        <v>518</v>
      </c>
      <c r="F481" s="2" t="s">
        <v>522</v>
      </c>
      <c r="G481" s="2">
        <v>16</v>
      </c>
      <c r="H481" s="2" t="s">
        <v>527</v>
      </c>
      <c r="I481" s="2">
        <v>148.41</v>
      </c>
    </row>
    <row r="482" spans="1:9" x14ac:dyDescent="0.3">
      <c r="A482" s="2" t="s">
        <v>489</v>
      </c>
      <c r="B482" s="2" t="s">
        <v>511</v>
      </c>
      <c r="C482" s="2">
        <v>423</v>
      </c>
      <c r="D482" s="2">
        <v>68</v>
      </c>
      <c r="E482" s="2" t="s">
        <v>518</v>
      </c>
      <c r="F482" s="2" t="s">
        <v>522</v>
      </c>
      <c r="G482" s="2">
        <v>20</v>
      </c>
      <c r="H482" s="2" t="s">
        <v>525</v>
      </c>
      <c r="I482" s="2">
        <v>111.14</v>
      </c>
    </row>
    <row r="483" spans="1:9" x14ac:dyDescent="0.3">
      <c r="A483" s="2" t="s">
        <v>490</v>
      </c>
      <c r="B483" s="2" t="s">
        <v>514</v>
      </c>
      <c r="C483" s="2">
        <v>396</v>
      </c>
      <c r="D483" s="2">
        <v>87</v>
      </c>
      <c r="E483" s="2" t="s">
        <v>517</v>
      </c>
      <c r="F483" s="2" t="s">
        <v>521</v>
      </c>
      <c r="G483" s="2">
        <v>6</v>
      </c>
      <c r="H483" s="2" t="s">
        <v>524</v>
      </c>
      <c r="I483" s="2">
        <v>125.49</v>
      </c>
    </row>
    <row r="484" spans="1:9" x14ac:dyDescent="0.3">
      <c r="A484" s="2" t="s">
        <v>491</v>
      </c>
      <c r="B484" s="2" t="s">
        <v>513</v>
      </c>
      <c r="C484" s="2">
        <v>166</v>
      </c>
      <c r="D484" s="2">
        <v>68</v>
      </c>
      <c r="E484" s="2" t="s">
        <v>516</v>
      </c>
      <c r="F484" s="2" t="s">
        <v>520</v>
      </c>
      <c r="G484" s="2">
        <v>18</v>
      </c>
      <c r="H484" s="2" t="s">
        <v>524</v>
      </c>
      <c r="I484" s="2">
        <v>54.96</v>
      </c>
    </row>
    <row r="485" spans="1:9" x14ac:dyDescent="0.3">
      <c r="A485" s="2" t="s">
        <v>492</v>
      </c>
      <c r="B485" s="2" t="s">
        <v>515</v>
      </c>
      <c r="C485" s="2">
        <v>46</v>
      </c>
      <c r="D485" s="2">
        <v>71</v>
      </c>
      <c r="E485" s="2" t="s">
        <v>517</v>
      </c>
      <c r="F485" s="2" t="s">
        <v>521</v>
      </c>
      <c r="G485" s="2">
        <v>17</v>
      </c>
      <c r="H485" s="2" t="s">
        <v>528</v>
      </c>
      <c r="I485" s="2">
        <v>100.69</v>
      </c>
    </row>
    <row r="486" spans="1:9" x14ac:dyDescent="0.3">
      <c r="A486" s="2" t="s">
        <v>493</v>
      </c>
      <c r="B486" s="2" t="s">
        <v>515</v>
      </c>
      <c r="C486" s="2">
        <v>414</v>
      </c>
      <c r="D486" s="2">
        <v>54</v>
      </c>
      <c r="E486" s="2" t="s">
        <v>518</v>
      </c>
      <c r="F486" s="2" t="s">
        <v>522</v>
      </c>
      <c r="G486" s="2">
        <v>8</v>
      </c>
      <c r="H486" s="2" t="s">
        <v>527</v>
      </c>
      <c r="I486" s="2">
        <v>129.54</v>
      </c>
    </row>
    <row r="487" spans="1:9" x14ac:dyDescent="0.3">
      <c r="A487" s="2" t="s">
        <v>494</v>
      </c>
      <c r="B487" s="2" t="s">
        <v>510</v>
      </c>
      <c r="C487" s="2">
        <v>270</v>
      </c>
      <c r="D487" s="2">
        <v>88</v>
      </c>
      <c r="E487" s="2" t="s">
        <v>518</v>
      </c>
      <c r="F487" s="2" t="s">
        <v>522</v>
      </c>
      <c r="G487" s="2">
        <v>10</v>
      </c>
      <c r="H487" s="2" t="s">
        <v>527</v>
      </c>
      <c r="I487" s="2">
        <v>164.9</v>
      </c>
    </row>
    <row r="488" spans="1:9" x14ac:dyDescent="0.3">
      <c r="A488" s="2" t="s">
        <v>495</v>
      </c>
      <c r="B488" s="2" t="s">
        <v>513</v>
      </c>
      <c r="C488" s="2">
        <v>273</v>
      </c>
      <c r="D488" s="2">
        <v>94</v>
      </c>
      <c r="E488" s="2" t="s">
        <v>519</v>
      </c>
      <c r="F488" s="2" t="s">
        <v>523</v>
      </c>
      <c r="G488" s="2">
        <v>14</v>
      </c>
      <c r="H488" s="2" t="s">
        <v>524</v>
      </c>
      <c r="I488" s="2">
        <v>37.29</v>
      </c>
    </row>
    <row r="489" spans="1:9" x14ac:dyDescent="0.3">
      <c r="A489" s="2" t="s">
        <v>496</v>
      </c>
      <c r="B489" s="2" t="s">
        <v>510</v>
      </c>
      <c r="C489" s="2">
        <v>378</v>
      </c>
      <c r="D489" s="2">
        <v>80</v>
      </c>
      <c r="E489" s="2" t="s">
        <v>516</v>
      </c>
      <c r="F489" s="2" t="s">
        <v>520</v>
      </c>
      <c r="G489" s="2">
        <v>8</v>
      </c>
      <c r="H489" s="2" t="s">
        <v>528</v>
      </c>
      <c r="I489" s="2">
        <v>46.06</v>
      </c>
    </row>
    <row r="490" spans="1:9" x14ac:dyDescent="0.3">
      <c r="A490" s="2" t="s">
        <v>497</v>
      </c>
      <c r="B490" s="2" t="s">
        <v>514</v>
      </c>
      <c r="C490" s="2">
        <v>51</v>
      </c>
      <c r="D490" s="2">
        <v>73</v>
      </c>
      <c r="E490" s="2" t="s">
        <v>518</v>
      </c>
      <c r="F490" s="2" t="s">
        <v>522</v>
      </c>
      <c r="G490" s="2">
        <v>9</v>
      </c>
      <c r="H490" s="2" t="s">
        <v>526</v>
      </c>
      <c r="I490" s="2">
        <v>117.44</v>
      </c>
    </row>
    <row r="491" spans="1:9" x14ac:dyDescent="0.3">
      <c r="A491" s="2" t="s">
        <v>498</v>
      </c>
      <c r="B491" s="2" t="s">
        <v>511</v>
      </c>
      <c r="C491" s="2">
        <v>386</v>
      </c>
      <c r="D491" s="2">
        <v>62</v>
      </c>
      <c r="E491" s="2" t="s">
        <v>518</v>
      </c>
      <c r="F491" s="2" t="s">
        <v>522</v>
      </c>
      <c r="G491" s="2">
        <v>21</v>
      </c>
      <c r="H491" s="2" t="s">
        <v>524</v>
      </c>
      <c r="I491" s="2">
        <v>158.38</v>
      </c>
    </row>
    <row r="492" spans="1:9" x14ac:dyDescent="0.3">
      <c r="A492" s="2" t="s">
        <v>499</v>
      </c>
      <c r="B492" s="2" t="s">
        <v>509</v>
      </c>
      <c r="C492" s="2">
        <v>131</v>
      </c>
      <c r="D492" s="2">
        <v>82</v>
      </c>
      <c r="E492" s="2" t="s">
        <v>516</v>
      </c>
      <c r="F492" s="2" t="s">
        <v>520</v>
      </c>
      <c r="G492" s="2">
        <v>16</v>
      </c>
      <c r="H492" s="2" t="s">
        <v>527</v>
      </c>
      <c r="I492" s="2">
        <v>179.08</v>
      </c>
    </row>
    <row r="493" spans="1:9" x14ac:dyDescent="0.3">
      <c r="A493" s="2" t="s">
        <v>500</v>
      </c>
      <c r="B493" s="2" t="s">
        <v>509</v>
      </c>
      <c r="C493" s="2">
        <v>218</v>
      </c>
      <c r="D493" s="2">
        <v>34</v>
      </c>
      <c r="E493" s="2" t="s">
        <v>517</v>
      </c>
      <c r="F493" s="2" t="s">
        <v>521</v>
      </c>
      <c r="G493" s="2">
        <v>9</v>
      </c>
      <c r="H493" s="2" t="s">
        <v>525</v>
      </c>
      <c r="I493" s="2">
        <v>150.88999999999999</v>
      </c>
    </row>
    <row r="494" spans="1:9" x14ac:dyDescent="0.3">
      <c r="A494" s="2" t="s">
        <v>501</v>
      </c>
      <c r="B494" s="2" t="s">
        <v>509</v>
      </c>
      <c r="C494" s="2">
        <v>111</v>
      </c>
      <c r="D494" s="2">
        <v>60</v>
      </c>
      <c r="E494" s="2" t="s">
        <v>518</v>
      </c>
      <c r="F494" s="2" t="s">
        <v>522</v>
      </c>
      <c r="G494" s="2">
        <v>12</v>
      </c>
      <c r="H494" s="2" t="s">
        <v>528</v>
      </c>
      <c r="I494" s="2">
        <v>124.11</v>
      </c>
    </row>
    <row r="495" spans="1:9" x14ac:dyDescent="0.3">
      <c r="A495" s="2" t="s">
        <v>502</v>
      </c>
      <c r="B495" s="2" t="s">
        <v>513</v>
      </c>
      <c r="C495" s="2">
        <v>411</v>
      </c>
      <c r="D495" s="2">
        <v>96</v>
      </c>
      <c r="E495" s="2" t="s">
        <v>517</v>
      </c>
      <c r="F495" s="2" t="s">
        <v>521</v>
      </c>
      <c r="G495" s="2">
        <v>13</v>
      </c>
      <c r="H495" s="2" t="s">
        <v>526</v>
      </c>
      <c r="I495" s="2">
        <v>5.3</v>
      </c>
    </row>
    <row r="496" spans="1:9" x14ac:dyDescent="0.3">
      <c r="A496" s="2" t="s">
        <v>503</v>
      </c>
      <c r="B496" s="2" t="s">
        <v>510</v>
      </c>
      <c r="C496" s="2">
        <v>184</v>
      </c>
      <c r="D496" s="2">
        <v>34</v>
      </c>
      <c r="E496" s="2" t="s">
        <v>516</v>
      </c>
      <c r="F496" s="2" t="s">
        <v>520</v>
      </c>
      <c r="G496" s="2">
        <v>3</v>
      </c>
      <c r="H496" s="2" t="s">
        <v>528</v>
      </c>
      <c r="I496" s="2">
        <v>81.569999999999993</v>
      </c>
    </row>
    <row r="497" spans="1:9" x14ac:dyDescent="0.3">
      <c r="A497" s="2" t="s">
        <v>504</v>
      </c>
      <c r="B497" s="2" t="s">
        <v>510</v>
      </c>
      <c r="C497" s="2">
        <v>479</v>
      </c>
      <c r="D497" s="2">
        <v>36</v>
      </c>
      <c r="E497" s="2" t="s">
        <v>518</v>
      </c>
      <c r="F497" s="2" t="s">
        <v>522</v>
      </c>
      <c r="G497" s="2">
        <v>14</v>
      </c>
      <c r="H497" s="2" t="s">
        <v>527</v>
      </c>
      <c r="I497" s="2">
        <v>90.22</v>
      </c>
    </row>
    <row r="498" spans="1:9" x14ac:dyDescent="0.3">
      <c r="A498" s="2" t="s">
        <v>505</v>
      </c>
      <c r="B498" s="2" t="s">
        <v>512</v>
      </c>
      <c r="C498" s="2">
        <v>186</v>
      </c>
      <c r="D498" s="2">
        <v>27</v>
      </c>
      <c r="E498" s="2" t="s">
        <v>516</v>
      </c>
      <c r="F498" s="2" t="s">
        <v>520</v>
      </c>
      <c r="G498" s="2">
        <v>3</v>
      </c>
      <c r="H498" s="2" t="s">
        <v>525</v>
      </c>
      <c r="I498" s="2">
        <v>146.94999999999999</v>
      </c>
    </row>
    <row r="499" spans="1:9" x14ac:dyDescent="0.3">
      <c r="A499" s="2" t="s">
        <v>506</v>
      </c>
      <c r="B499" s="2" t="s">
        <v>513</v>
      </c>
      <c r="C499" s="2">
        <v>240</v>
      </c>
      <c r="D499" s="2">
        <v>27</v>
      </c>
      <c r="E499" s="2" t="s">
        <v>517</v>
      </c>
      <c r="F499" s="2" t="s">
        <v>521</v>
      </c>
      <c r="G499" s="2">
        <v>6</v>
      </c>
      <c r="H499" s="2" t="s">
        <v>525</v>
      </c>
      <c r="I499" s="2">
        <v>153.49</v>
      </c>
    </row>
    <row r="500" spans="1:9" x14ac:dyDescent="0.3">
      <c r="A500" s="2" t="s">
        <v>507</v>
      </c>
      <c r="B500" s="2" t="s">
        <v>515</v>
      </c>
      <c r="C500" s="2">
        <v>307</v>
      </c>
      <c r="D500" s="2">
        <v>29</v>
      </c>
      <c r="E500" s="2" t="s">
        <v>519</v>
      </c>
      <c r="F500" s="2" t="s">
        <v>523</v>
      </c>
      <c r="G500" s="2">
        <v>5</v>
      </c>
      <c r="H500" s="2" t="s">
        <v>525</v>
      </c>
      <c r="I500" s="2">
        <v>116.3</v>
      </c>
    </row>
    <row r="501" spans="1:9" x14ac:dyDescent="0.3">
      <c r="A501" s="2" t="s">
        <v>508</v>
      </c>
      <c r="B501" s="2" t="s">
        <v>514</v>
      </c>
      <c r="C501" s="2">
        <v>386</v>
      </c>
      <c r="D501" s="2">
        <v>92</v>
      </c>
      <c r="E501" s="2" t="s">
        <v>518</v>
      </c>
      <c r="F501" s="2" t="s">
        <v>522</v>
      </c>
      <c r="G501" s="2">
        <v>15</v>
      </c>
      <c r="H501" s="2" t="s">
        <v>528</v>
      </c>
      <c r="I501" s="2">
        <v>43.5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76392-EF95-4967-8EEB-0EDD2A42DBFA}">
  <dimension ref="A3:B5"/>
  <sheetViews>
    <sheetView workbookViewId="0">
      <selection activeCell="D13" sqref="D13"/>
    </sheetView>
  </sheetViews>
  <sheetFormatPr defaultRowHeight="14.4" x14ac:dyDescent="0.3"/>
  <cols>
    <col min="1" max="1" width="13.77734375" bestFit="1" customWidth="1"/>
    <col min="2" max="2" width="18.88671875" bestFit="1" customWidth="1"/>
  </cols>
  <sheetData>
    <row r="3" spans="1:2" x14ac:dyDescent="0.3">
      <c r="A3" s="3" t="s">
        <v>530</v>
      </c>
      <c r="B3" t="s">
        <v>533</v>
      </c>
    </row>
    <row r="4" spans="1:2" x14ac:dyDescent="0.3">
      <c r="A4" s="4" t="s">
        <v>531</v>
      </c>
      <c r="B4" s="11">
        <v>433</v>
      </c>
    </row>
    <row r="5" spans="1:2" x14ac:dyDescent="0.3">
      <c r="A5" s="4" t="s">
        <v>532</v>
      </c>
      <c r="B5" s="11">
        <v>67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6D00C-70EC-4C80-9B6D-1074CACB9566}">
  <dimension ref="A1:AE701"/>
  <sheetViews>
    <sheetView showGridLines="0" tabSelected="1" workbookViewId="0">
      <selection activeCell="U24" sqref="U24"/>
    </sheetView>
  </sheetViews>
  <sheetFormatPr defaultRowHeight="14.4" x14ac:dyDescent="0.3"/>
  <sheetData>
    <row r="1" spans="1:31" ht="26.4" thickBot="1" x14ac:dyDescent="0.55000000000000004">
      <c r="A1" s="8" t="s">
        <v>534</v>
      </c>
      <c r="B1" s="9"/>
      <c r="C1" s="9"/>
      <c r="D1" s="9"/>
      <c r="E1" s="9"/>
      <c r="F1" s="9"/>
      <c r="G1" s="9"/>
      <c r="H1" s="9"/>
      <c r="I1" s="9"/>
      <c r="J1" s="9"/>
      <c r="K1" s="9"/>
      <c r="L1" s="9"/>
      <c r="M1" s="9"/>
      <c r="N1" s="9"/>
      <c r="O1" s="9"/>
      <c r="P1" s="9"/>
      <c r="Q1" s="9"/>
      <c r="R1" s="9"/>
      <c r="S1" s="9"/>
      <c r="T1" s="9"/>
      <c r="U1" s="9"/>
      <c r="V1" s="9"/>
      <c r="W1" s="9"/>
      <c r="X1" s="9"/>
      <c r="Y1" s="10"/>
    </row>
    <row r="2" spans="1:31"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row>
    <row r="3" spans="1:31"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row>
    <row r="4" spans="1:31"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row>
    <row r="5" spans="1:31"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row>
    <row r="6" spans="1:31"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row>
    <row r="7" spans="1:31"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row>
    <row r="8" spans="1:31"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row>
    <row r="9" spans="1:31"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row>
    <row r="10" spans="1:31"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row>
    <row r="11" spans="1:31"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row>
    <row r="12" spans="1:31"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row>
    <row r="13" spans="1:31"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row>
    <row r="14" spans="1:31"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row>
    <row r="15" spans="1:31"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row>
    <row r="16" spans="1:31"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row>
    <row r="17" spans="1:31"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row>
    <row r="18" spans="1:31"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row>
    <row r="19" spans="1:31"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row>
    <row r="20" spans="1:31"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row>
    <row r="21" spans="1:31"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row>
    <row r="22" spans="1:31"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row>
    <row r="23" spans="1:31"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row>
    <row r="24" spans="1:31"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row>
    <row r="25" spans="1:31"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row>
    <row r="26" spans="1:31"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row>
    <row r="27" spans="1:31"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row>
    <row r="28" spans="1:31"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row>
    <row r="29" spans="1:31"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row>
    <row r="30" spans="1:31"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row>
    <row r="31" spans="1:31"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row>
    <row r="32" spans="1:31"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row>
    <row r="33" spans="1:31"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row>
    <row r="34" spans="1:31"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row>
    <row r="35" spans="1:31"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row>
    <row r="36" spans="1:31"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row>
    <row r="37" spans="1:31"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row>
    <row r="38" spans="1:31"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row>
    <row r="39" spans="1:31"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row>
    <row r="40" spans="1:31"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row>
    <row r="41" spans="1:31"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row>
    <row r="42" spans="1:31"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row>
    <row r="43" spans="1:31"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row>
    <row r="44" spans="1:31"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row>
    <row r="45" spans="1:31"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row>
    <row r="46" spans="1:31"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row>
    <row r="47" spans="1:31"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row>
    <row r="48" spans="1:31"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row>
    <row r="49" spans="1:31"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row>
    <row r="50" spans="1:31"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row>
    <row r="51" spans="1:31"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row>
    <row r="52" spans="1:31"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row>
    <row r="53" spans="1:31"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row>
    <row r="54" spans="1:31"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row>
    <row r="55" spans="1:31"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row>
    <row r="56" spans="1:31"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row>
    <row r="57" spans="1:31" x14ac:dyDescent="0.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row>
    <row r="58" spans="1:31"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row>
    <row r="59" spans="1:31"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row>
    <row r="60" spans="1:31" x14ac:dyDescent="0.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row>
    <row r="61" spans="1:31"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row>
    <row r="62" spans="1:31" x14ac:dyDescent="0.3">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row>
    <row r="63" spans="1:31" x14ac:dyDescent="0.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row>
    <row r="64" spans="1:31" x14ac:dyDescent="0.3">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row>
    <row r="65" spans="1:31" x14ac:dyDescent="0.3">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row>
    <row r="66" spans="1:31" x14ac:dyDescent="0.3">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row>
    <row r="67" spans="1:31" x14ac:dyDescent="0.3">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row>
    <row r="68" spans="1:31" x14ac:dyDescent="0.3">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row>
    <row r="69" spans="1:31" x14ac:dyDescent="0.3">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row>
    <row r="70" spans="1:31" x14ac:dyDescent="0.3">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row>
    <row r="71" spans="1:31" x14ac:dyDescent="0.3">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row>
    <row r="72" spans="1:31" x14ac:dyDescent="0.3">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row>
    <row r="73" spans="1:31" x14ac:dyDescent="0.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row>
    <row r="74" spans="1:31" x14ac:dyDescent="0.3">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row>
    <row r="75" spans="1:31" x14ac:dyDescent="0.3">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row>
    <row r="76" spans="1:31" x14ac:dyDescent="0.3">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row>
    <row r="77" spans="1:31" x14ac:dyDescent="0.3">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row>
    <row r="78" spans="1:31" x14ac:dyDescent="0.3">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row>
    <row r="79" spans="1:31" x14ac:dyDescent="0.3">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row>
    <row r="80" spans="1:31" x14ac:dyDescent="0.3">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row>
    <row r="81" spans="1:31" x14ac:dyDescent="0.3">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row>
    <row r="82" spans="1:31" x14ac:dyDescent="0.3">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row>
    <row r="83" spans="1:31" x14ac:dyDescent="0.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row>
    <row r="84" spans="1:31" x14ac:dyDescent="0.3">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row>
    <row r="85" spans="1:31" x14ac:dyDescent="0.3">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row>
    <row r="86" spans="1:31" x14ac:dyDescent="0.3">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row>
    <row r="87" spans="1:31" x14ac:dyDescent="0.3">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row>
    <row r="88" spans="1:31" x14ac:dyDescent="0.3">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row>
    <row r="89" spans="1:31" x14ac:dyDescent="0.3">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row>
    <row r="90" spans="1:31" x14ac:dyDescent="0.3">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row>
    <row r="91" spans="1:31" x14ac:dyDescent="0.3">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row>
    <row r="92" spans="1:31" x14ac:dyDescent="0.3">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row>
    <row r="93" spans="1:31" x14ac:dyDescent="0.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row>
    <row r="94" spans="1:31" x14ac:dyDescent="0.3">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row>
    <row r="95" spans="1:31" x14ac:dyDescent="0.3">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row>
    <row r="96" spans="1:31" x14ac:dyDescent="0.3">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row>
    <row r="97" spans="1:31" x14ac:dyDescent="0.3">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row>
    <row r="98" spans="1:31" x14ac:dyDescent="0.3">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row>
    <row r="99" spans="1:31" x14ac:dyDescent="0.3">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row>
    <row r="100" spans="1:31"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row>
    <row r="101" spans="1:31"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row>
    <row r="102" spans="1:31"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row>
    <row r="103" spans="1:31"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row>
    <row r="104" spans="1:31"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row>
    <row r="105" spans="1:31"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row>
    <row r="106" spans="1:31"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row>
    <row r="107" spans="1:31"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row>
    <row r="108" spans="1:31"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row>
    <row r="109" spans="1:31"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row>
    <row r="110" spans="1:31"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row>
    <row r="111" spans="1:31"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row>
    <row r="112" spans="1:31"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row>
    <row r="113" spans="1:31"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row>
    <row r="114" spans="1:31" x14ac:dyDescent="0.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row>
    <row r="115" spans="1:31" x14ac:dyDescent="0.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row>
    <row r="116" spans="1:31" x14ac:dyDescent="0.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row>
    <row r="117" spans="1:31" x14ac:dyDescent="0.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row>
    <row r="118" spans="1:31" x14ac:dyDescent="0.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row>
    <row r="119" spans="1:31" x14ac:dyDescent="0.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row>
    <row r="120" spans="1:31" x14ac:dyDescent="0.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row>
    <row r="121" spans="1:31" x14ac:dyDescent="0.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row>
    <row r="122" spans="1:31" x14ac:dyDescent="0.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row>
    <row r="123" spans="1:31" x14ac:dyDescent="0.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row>
    <row r="124" spans="1:31" x14ac:dyDescent="0.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row>
    <row r="125" spans="1:31" x14ac:dyDescent="0.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row>
    <row r="126" spans="1:31" x14ac:dyDescent="0.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row>
    <row r="127" spans="1:31" x14ac:dyDescent="0.3">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row>
    <row r="128" spans="1:31" x14ac:dyDescent="0.3">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row>
    <row r="129" spans="1:31" x14ac:dyDescent="0.3">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row>
    <row r="130" spans="1:31" x14ac:dyDescent="0.3">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row>
    <row r="131" spans="1:31" x14ac:dyDescent="0.3">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row>
    <row r="132" spans="1:31" x14ac:dyDescent="0.3">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row>
    <row r="133" spans="1:31" x14ac:dyDescent="0.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row>
    <row r="134" spans="1:31" x14ac:dyDescent="0.3">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row>
    <row r="135" spans="1:31" x14ac:dyDescent="0.3">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row>
    <row r="136" spans="1:31" x14ac:dyDescent="0.3">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row>
    <row r="137" spans="1:31" x14ac:dyDescent="0.3">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row>
    <row r="138" spans="1:31" x14ac:dyDescent="0.3">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row>
    <row r="139" spans="1:31" x14ac:dyDescent="0.3">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row>
    <row r="140" spans="1:31" x14ac:dyDescent="0.3">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row>
    <row r="141" spans="1:31" x14ac:dyDescent="0.3">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row>
    <row r="142" spans="1:31" x14ac:dyDescent="0.3">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row>
    <row r="143" spans="1:31" x14ac:dyDescent="0.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row>
    <row r="144" spans="1:31" x14ac:dyDescent="0.3">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row>
    <row r="145" spans="1:31" x14ac:dyDescent="0.3">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row>
    <row r="146" spans="1:31" x14ac:dyDescent="0.3">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row>
    <row r="147" spans="1:31" x14ac:dyDescent="0.3">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row>
    <row r="148" spans="1:31" x14ac:dyDescent="0.3">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row>
    <row r="149" spans="1:31" x14ac:dyDescent="0.3">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row>
    <row r="150" spans="1:31" x14ac:dyDescent="0.3">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row>
    <row r="151" spans="1:31" x14ac:dyDescent="0.3">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row>
    <row r="152" spans="1:31" x14ac:dyDescent="0.3">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row>
    <row r="153" spans="1:31" x14ac:dyDescent="0.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row>
    <row r="154" spans="1:31" x14ac:dyDescent="0.3">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row>
    <row r="155" spans="1:31" x14ac:dyDescent="0.3">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row>
    <row r="156" spans="1:31" x14ac:dyDescent="0.3">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row>
    <row r="157" spans="1:31" x14ac:dyDescent="0.3">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row>
    <row r="158" spans="1:31" x14ac:dyDescent="0.3">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row>
    <row r="159" spans="1:31" x14ac:dyDescent="0.3">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row>
    <row r="160" spans="1:31" x14ac:dyDescent="0.3">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row>
    <row r="161" spans="1:31" x14ac:dyDescent="0.3">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row>
    <row r="162" spans="1:31" x14ac:dyDescent="0.3">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row>
    <row r="163" spans="1:31" x14ac:dyDescent="0.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row>
    <row r="164" spans="1:31" x14ac:dyDescent="0.3">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row>
    <row r="165" spans="1:31" x14ac:dyDescent="0.3">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row>
    <row r="166" spans="1:31" x14ac:dyDescent="0.3">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row>
    <row r="167" spans="1:31" x14ac:dyDescent="0.3">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row>
    <row r="168" spans="1:31" x14ac:dyDescent="0.3">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row>
    <row r="169" spans="1:31" x14ac:dyDescent="0.3">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row>
    <row r="170" spans="1:31" x14ac:dyDescent="0.3">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row>
    <row r="171" spans="1:31" x14ac:dyDescent="0.3">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row>
    <row r="172" spans="1:31" x14ac:dyDescent="0.3">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row>
    <row r="173" spans="1:31" x14ac:dyDescent="0.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row>
    <row r="174" spans="1:31" x14ac:dyDescent="0.3">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row>
    <row r="175" spans="1:31" x14ac:dyDescent="0.3">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row>
    <row r="176" spans="1:31" x14ac:dyDescent="0.3">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row>
    <row r="177" spans="1:31" x14ac:dyDescent="0.3">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row>
    <row r="178" spans="1:31" x14ac:dyDescent="0.3">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row>
    <row r="179" spans="1:31" x14ac:dyDescent="0.3">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row>
    <row r="180" spans="1:31" x14ac:dyDescent="0.3">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row>
    <row r="181" spans="1:31" x14ac:dyDescent="0.3">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row>
    <row r="182" spans="1:31" x14ac:dyDescent="0.3">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row>
    <row r="183" spans="1:31" x14ac:dyDescent="0.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row>
    <row r="184" spans="1:31" x14ac:dyDescent="0.3">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row>
    <row r="185" spans="1:31" x14ac:dyDescent="0.3">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row>
    <row r="186" spans="1:31" x14ac:dyDescent="0.3">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row>
    <row r="187" spans="1:31" x14ac:dyDescent="0.3">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row>
    <row r="188" spans="1:31" x14ac:dyDescent="0.3">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row>
    <row r="189" spans="1:31" x14ac:dyDescent="0.3">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row>
    <row r="190" spans="1:31" x14ac:dyDescent="0.3">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row>
    <row r="191" spans="1:31" x14ac:dyDescent="0.3">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row>
    <row r="192" spans="1:31" x14ac:dyDescent="0.3">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row>
    <row r="193" spans="1:31" x14ac:dyDescent="0.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row>
    <row r="194" spans="1:31" x14ac:dyDescent="0.3">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row>
    <row r="195" spans="1:31" x14ac:dyDescent="0.3">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row>
    <row r="196" spans="1:31" x14ac:dyDescent="0.3">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row>
    <row r="197" spans="1:31" x14ac:dyDescent="0.3">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row>
    <row r="198" spans="1:31" x14ac:dyDescent="0.3">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row>
    <row r="199" spans="1:31" x14ac:dyDescent="0.3">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row>
    <row r="200" spans="1:31" x14ac:dyDescent="0.3">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row>
    <row r="201" spans="1:31" x14ac:dyDescent="0.3">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row>
    <row r="202" spans="1:31" x14ac:dyDescent="0.3">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row>
    <row r="203" spans="1:31" x14ac:dyDescent="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row>
    <row r="204" spans="1:31" x14ac:dyDescent="0.3">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row>
    <row r="205" spans="1:31" x14ac:dyDescent="0.3">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row>
    <row r="206" spans="1:31" x14ac:dyDescent="0.3">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row>
    <row r="207" spans="1:31" x14ac:dyDescent="0.3">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row>
    <row r="208" spans="1:31" x14ac:dyDescent="0.3">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row>
    <row r="209" spans="1:31" x14ac:dyDescent="0.3">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row>
    <row r="210" spans="1:31" x14ac:dyDescent="0.3">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row>
    <row r="211" spans="1:31" x14ac:dyDescent="0.3">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row>
    <row r="212" spans="1:31" x14ac:dyDescent="0.3">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row>
    <row r="213" spans="1:31" x14ac:dyDescent="0.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row>
    <row r="214" spans="1:31" x14ac:dyDescent="0.3">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row>
    <row r="215" spans="1:31" x14ac:dyDescent="0.3">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row>
    <row r="216" spans="1:31" x14ac:dyDescent="0.3">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row>
    <row r="217" spans="1:31" x14ac:dyDescent="0.3">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row>
    <row r="218" spans="1:31" x14ac:dyDescent="0.3">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row>
    <row r="219" spans="1:31" x14ac:dyDescent="0.3">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row>
    <row r="220" spans="1:31" x14ac:dyDescent="0.3">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row>
    <row r="221" spans="1:31" x14ac:dyDescent="0.3">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row>
    <row r="222" spans="1:31" x14ac:dyDescent="0.3">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row>
    <row r="223" spans="1:31" x14ac:dyDescent="0.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row>
    <row r="224" spans="1:31" x14ac:dyDescent="0.3">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row>
    <row r="225" spans="1:31" x14ac:dyDescent="0.3">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row>
    <row r="226" spans="1:31" x14ac:dyDescent="0.3">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row>
    <row r="227" spans="1:31" x14ac:dyDescent="0.3">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row>
    <row r="228" spans="1:31" x14ac:dyDescent="0.3">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row>
    <row r="229" spans="1:31" x14ac:dyDescent="0.3">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row>
    <row r="230" spans="1:31" x14ac:dyDescent="0.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row>
    <row r="231" spans="1:31" x14ac:dyDescent="0.3">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row>
    <row r="232" spans="1:31" x14ac:dyDescent="0.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row>
    <row r="233" spans="1:31" x14ac:dyDescent="0.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row>
    <row r="234" spans="1:31" x14ac:dyDescent="0.3">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row>
    <row r="235" spans="1:31" x14ac:dyDescent="0.3">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row>
    <row r="236" spans="1:31" x14ac:dyDescent="0.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row>
    <row r="237" spans="1:31" x14ac:dyDescent="0.3">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row>
    <row r="238" spans="1:31" x14ac:dyDescent="0.3">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row>
    <row r="239" spans="1:31" x14ac:dyDescent="0.3">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row>
    <row r="240" spans="1:31" x14ac:dyDescent="0.3">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row>
    <row r="241" spans="1:31" x14ac:dyDescent="0.3">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row>
    <row r="242" spans="1:31" x14ac:dyDescent="0.3">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row>
    <row r="243" spans="1:31" x14ac:dyDescent="0.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row>
    <row r="244" spans="1:31" x14ac:dyDescent="0.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row>
    <row r="245" spans="1:31" x14ac:dyDescent="0.3">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row>
    <row r="246" spans="1:31" x14ac:dyDescent="0.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row>
    <row r="247" spans="1:31" x14ac:dyDescent="0.3">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row>
    <row r="248" spans="1:31" x14ac:dyDescent="0.3">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row>
    <row r="249" spans="1:31" x14ac:dyDescent="0.3">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row>
    <row r="250" spans="1:31" x14ac:dyDescent="0.3">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row>
    <row r="251" spans="1:31" x14ac:dyDescent="0.3">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row>
    <row r="252" spans="1:31" x14ac:dyDescent="0.3">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row>
    <row r="253" spans="1:31" x14ac:dyDescent="0.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row>
    <row r="254" spans="1:31"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row>
    <row r="255" spans="1:31" x14ac:dyDescent="0.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row>
    <row r="256" spans="1:31" x14ac:dyDescent="0.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row>
    <row r="257" spans="1:31" x14ac:dyDescent="0.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row>
    <row r="258" spans="1:31" x14ac:dyDescent="0.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row>
    <row r="259" spans="1:31" x14ac:dyDescent="0.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row>
    <row r="260" spans="1:31" x14ac:dyDescent="0.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row>
    <row r="261" spans="1:31" x14ac:dyDescent="0.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row>
    <row r="262" spans="1:31" x14ac:dyDescent="0.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row>
    <row r="263" spans="1:31" x14ac:dyDescent="0.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row>
    <row r="264" spans="1:31" x14ac:dyDescent="0.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row>
    <row r="265" spans="1:31" x14ac:dyDescent="0.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row>
    <row r="266" spans="1:31" x14ac:dyDescent="0.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row>
    <row r="267" spans="1:31" x14ac:dyDescent="0.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row>
    <row r="268" spans="1:31" x14ac:dyDescent="0.3">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row>
    <row r="269" spans="1:31" x14ac:dyDescent="0.3">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row>
    <row r="270" spans="1:31" x14ac:dyDescent="0.3">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row>
    <row r="271" spans="1:31" x14ac:dyDescent="0.3">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row>
    <row r="272" spans="1:31" x14ac:dyDescent="0.3">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row>
    <row r="273" spans="1:31" x14ac:dyDescent="0.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row>
    <row r="274" spans="1:31" x14ac:dyDescent="0.3">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row>
    <row r="275" spans="1:31" x14ac:dyDescent="0.3">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row>
    <row r="276" spans="1:31" x14ac:dyDescent="0.3">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row>
    <row r="277" spans="1:31" x14ac:dyDescent="0.3">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row>
    <row r="278" spans="1:31" x14ac:dyDescent="0.3">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row>
    <row r="279" spans="1:31" x14ac:dyDescent="0.3">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row>
    <row r="280" spans="1:31" x14ac:dyDescent="0.3">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row>
    <row r="281" spans="1:31" x14ac:dyDescent="0.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row>
    <row r="282" spans="1:31" x14ac:dyDescent="0.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row>
    <row r="283" spans="1:31" x14ac:dyDescent="0.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row>
    <row r="284" spans="1:31" x14ac:dyDescent="0.3">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row>
    <row r="285" spans="1:31" x14ac:dyDescent="0.3">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row>
    <row r="286" spans="1:31" x14ac:dyDescent="0.3">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row>
    <row r="287" spans="1:31" x14ac:dyDescent="0.3">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row>
    <row r="288" spans="1:31" x14ac:dyDescent="0.3">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row>
    <row r="289" spans="1:31" x14ac:dyDescent="0.3">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row>
    <row r="290" spans="1:31" x14ac:dyDescent="0.3">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row>
    <row r="291" spans="1:31" x14ac:dyDescent="0.3">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row>
    <row r="292" spans="1:31" x14ac:dyDescent="0.3">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row>
    <row r="293" spans="1:31" x14ac:dyDescent="0.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row>
    <row r="294" spans="1:31" x14ac:dyDescent="0.3">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row>
    <row r="295" spans="1:31" x14ac:dyDescent="0.3">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row>
    <row r="296" spans="1:31" x14ac:dyDescent="0.3">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row>
    <row r="297" spans="1:31" x14ac:dyDescent="0.3">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row>
    <row r="298" spans="1:31" x14ac:dyDescent="0.3">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row>
    <row r="299" spans="1:31" x14ac:dyDescent="0.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row>
    <row r="300" spans="1:31" x14ac:dyDescent="0.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row>
    <row r="301" spans="1:31" x14ac:dyDescent="0.3">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row>
    <row r="302" spans="1:31" x14ac:dyDescent="0.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row>
    <row r="303" spans="1:31" x14ac:dyDescent="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row>
    <row r="304" spans="1:31" x14ac:dyDescent="0.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row>
    <row r="305" spans="1:31" x14ac:dyDescent="0.3">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row>
    <row r="306" spans="1:31" x14ac:dyDescent="0.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row>
    <row r="307" spans="1:31" x14ac:dyDescent="0.3">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row>
    <row r="308" spans="1:31" x14ac:dyDescent="0.3">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row>
    <row r="309" spans="1:31" x14ac:dyDescent="0.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row>
    <row r="310" spans="1:31" x14ac:dyDescent="0.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row>
    <row r="311" spans="1:31" x14ac:dyDescent="0.3">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row>
    <row r="312" spans="1:31" x14ac:dyDescent="0.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row>
    <row r="313" spans="1:31" x14ac:dyDescent="0.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row>
    <row r="314" spans="1:31" x14ac:dyDescent="0.3">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row>
    <row r="315" spans="1:31" x14ac:dyDescent="0.3">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row>
    <row r="316" spans="1:31" x14ac:dyDescent="0.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row>
    <row r="317" spans="1:31" x14ac:dyDescent="0.3">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row>
    <row r="318" spans="1:31" x14ac:dyDescent="0.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row>
    <row r="319" spans="1:31" x14ac:dyDescent="0.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row>
    <row r="320" spans="1:31" x14ac:dyDescent="0.3">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row>
    <row r="321" spans="1:31" x14ac:dyDescent="0.3">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row>
    <row r="322" spans="1:31" x14ac:dyDescent="0.3">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row>
    <row r="323" spans="1:31" x14ac:dyDescent="0.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row>
    <row r="324" spans="1:31" x14ac:dyDescent="0.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row>
    <row r="325" spans="1:31" x14ac:dyDescent="0.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row>
    <row r="326" spans="1:31" x14ac:dyDescent="0.3">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row>
    <row r="327" spans="1:31" x14ac:dyDescent="0.3">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row>
    <row r="328" spans="1:31" x14ac:dyDescent="0.3">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row>
    <row r="329" spans="1:31" x14ac:dyDescent="0.3">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row>
    <row r="330" spans="1:31" x14ac:dyDescent="0.3">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row>
    <row r="331" spans="1:31" x14ac:dyDescent="0.3">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row>
    <row r="332" spans="1:31" x14ac:dyDescent="0.3">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row>
    <row r="333" spans="1:31" x14ac:dyDescent="0.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row>
    <row r="334" spans="1:31" x14ac:dyDescent="0.3">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row>
    <row r="335" spans="1:31" x14ac:dyDescent="0.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row>
    <row r="336" spans="1:31" x14ac:dyDescent="0.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row>
    <row r="337" spans="1:31" x14ac:dyDescent="0.3">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row>
    <row r="338" spans="1:31" x14ac:dyDescent="0.3">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row>
    <row r="339" spans="1:31" x14ac:dyDescent="0.3">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row>
    <row r="340" spans="1:31" x14ac:dyDescent="0.3">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row>
    <row r="341" spans="1:31" x14ac:dyDescent="0.3">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row>
    <row r="342" spans="1:31" x14ac:dyDescent="0.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row>
    <row r="343" spans="1:31" x14ac:dyDescent="0.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row>
    <row r="344" spans="1:31" x14ac:dyDescent="0.3">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row>
    <row r="345" spans="1:31" x14ac:dyDescent="0.3">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row>
    <row r="346" spans="1:31" x14ac:dyDescent="0.3">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row>
    <row r="347" spans="1:31" x14ac:dyDescent="0.3">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row>
    <row r="348" spans="1:31" x14ac:dyDescent="0.3">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row>
    <row r="349" spans="1:31" x14ac:dyDescent="0.3">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row>
    <row r="350" spans="1:31" x14ac:dyDescent="0.3">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row>
    <row r="351" spans="1:31" x14ac:dyDescent="0.3">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row>
    <row r="352" spans="1:31" x14ac:dyDescent="0.3">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row>
    <row r="353" spans="1:31" x14ac:dyDescent="0.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row>
    <row r="354" spans="1:31" x14ac:dyDescent="0.3">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row>
    <row r="355" spans="1:31" x14ac:dyDescent="0.3">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row>
    <row r="356" spans="1:31" x14ac:dyDescent="0.3">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row>
    <row r="357" spans="1:31" x14ac:dyDescent="0.3">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row>
    <row r="358" spans="1:31" x14ac:dyDescent="0.3">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row>
    <row r="359" spans="1:31" x14ac:dyDescent="0.3">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row>
    <row r="360" spans="1:31" x14ac:dyDescent="0.3">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row>
    <row r="361" spans="1:31" x14ac:dyDescent="0.3">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row>
    <row r="362" spans="1:31" x14ac:dyDescent="0.3">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row>
    <row r="363" spans="1:31" x14ac:dyDescent="0.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row>
    <row r="364" spans="1:31" x14ac:dyDescent="0.3">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row>
    <row r="365" spans="1:31" x14ac:dyDescent="0.3">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row>
    <row r="366" spans="1:31" x14ac:dyDescent="0.3">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row>
    <row r="367" spans="1:31" x14ac:dyDescent="0.3">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row>
    <row r="368" spans="1:31" x14ac:dyDescent="0.3">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row>
    <row r="369" spans="1:31" x14ac:dyDescent="0.3">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row>
    <row r="370" spans="1:31" x14ac:dyDescent="0.3">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row>
    <row r="371" spans="1:31" x14ac:dyDescent="0.3">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row>
    <row r="372" spans="1:31" x14ac:dyDescent="0.3">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row>
    <row r="373" spans="1:31" x14ac:dyDescent="0.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row>
    <row r="374" spans="1:31" x14ac:dyDescent="0.3">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row>
    <row r="375" spans="1:31" x14ac:dyDescent="0.3">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row>
    <row r="376" spans="1:31" x14ac:dyDescent="0.3">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row>
    <row r="377" spans="1:31" x14ac:dyDescent="0.3">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row>
    <row r="378" spans="1:31" x14ac:dyDescent="0.3">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row>
    <row r="379" spans="1:31" x14ac:dyDescent="0.3">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row>
    <row r="380" spans="1:31" x14ac:dyDescent="0.3">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row>
    <row r="381" spans="1:31" x14ac:dyDescent="0.3">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row>
    <row r="382" spans="1:31" x14ac:dyDescent="0.3">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row>
    <row r="383" spans="1:31" x14ac:dyDescent="0.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row>
    <row r="384" spans="1:31" x14ac:dyDescent="0.3">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row>
    <row r="385" spans="1:31" x14ac:dyDescent="0.3">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row>
    <row r="386" spans="1:31" x14ac:dyDescent="0.3">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row>
    <row r="387" spans="1:31" x14ac:dyDescent="0.3">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row>
    <row r="388" spans="1:31" x14ac:dyDescent="0.3">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row>
    <row r="389" spans="1:31" x14ac:dyDescent="0.3">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row>
    <row r="390" spans="1:31" x14ac:dyDescent="0.3">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row>
    <row r="391" spans="1:31" x14ac:dyDescent="0.3">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row>
    <row r="392" spans="1:31" x14ac:dyDescent="0.3">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row>
    <row r="393" spans="1:31" x14ac:dyDescent="0.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row>
    <row r="394" spans="1:31" x14ac:dyDescent="0.3">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row>
    <row r="395" spans="1:31" x14ac:dyDescent="0.3">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row>
    <row r="396" spans="1:31" x14ac:dyDescent="0.3">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row>
    <row r="397" spans="1:31" x14ac:dyDescent="0.3">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row>
    <row r="398" spans="1:31" x14ac:dyDescent="0.3">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row>
    <row r="399" spans="1:31" x14ac:dyDescent="0.3">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row>
    <row r="400" spans="1:31" x14ac:dyDescent="0.3">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row>
    <row r="401" spans="1:31" x14ac:dyDescent="0.3">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row>
    <row r="402" spans="1:31" x14ac:dyDescent="0.3">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row>
    <row r="403" spans="1:31" x14ac:dyDescent="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row>
    <row r="404" spans="1:31" x14ac:dyDescent="0.3">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row>
    <row r="405" spans="1:31" x14ac:dyDescent="0.3">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row>
    <row r="406" spans="1:31" x14ac:dyDescent="0.3">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row>
    <row r="407" spans="1:31" x14ac:dyDescent="0.3">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row>
    <row r="408" spans="1:31" x14ac:dyDescent="0.3">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row>
    <row r="409" spans="1:31" x14ac:dyDescent="0.3">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row>
    <row r="410" spans="1:31" x14ac:dyDescent="0.3">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row>
    <row r="411" spans="1:31" x14ac:dyDescent="0.3">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row>
    <row r="412" spans="1:31" x14ac:dyDescent="0.3">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row>
    <row r="413" spans="1:31" x14ac:dyDescent="0.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row>
    <row r="414" spans="1:31" x14ac:dyDescent="0.3">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row>
    <row r="415" spans="1:31" x14ac:dyDescent="0.3">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row>
    <row r="416" spans="1:31" x14ac:dyDescent="0.3">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row>
    <row r="417" spans="1:31" x14ac:dyDescent="0.3">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row>
    <row r="418" spans="1:31" x14ac:dyDescent="0.3">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row>
    <row r="419" spans="1:31" x14ac:dyDescent="0.3">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row>
    <row r="420" spans="1:31" x14ac:dyDescent="0.3">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row>
    <row r="421" spans="1:31" x14ac:dyDescent="0.3">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row>
    <row r="422" spans="1:31" x14ac:dyDescent="0.3">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row>
    <row r="423" spans="1:31" x14ac:dyDescent="0.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row>
    <row r="424" spans="1:31" x14ac:dyDescent="0.3">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row>
    <row r="425" spans="1:31" x14ac:dyDescent="0.3">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row>
    <row r="426" spans="1:31" x14ac:dyDescent="0.3">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row>
    <row r="427" spans="1:31" x14ac:dyDescent="0.3">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row>
    <row r="428" spans="1:31" x14ac:dyDescent="0.3">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row>
    <row r="429" spans="1:31" x14ac:dyDescent="0.3">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row>
    <row r="430" spans="1:31" x14ac:dyDescent="0.3">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row>
    <row r="431" spans="1:31" x14ac:dyDescent="0.3">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row>
    <row r="432" spans="1:31" x14ac:dyDescent="0.3">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row>
    <row r="433" spans="1:31" x14ac:dyDescent="0.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row>
    <row r="434" spans="1:31" x14ac:dyDescent="0.3">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row>
    <row r="435" spans="1:31" x14ac:dyDescent="0.3">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row>
    <row r="436" spans="1:31" x14ac:dyDescent="0.3">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row>
    <row r="437" spans="1:31" x14ac:dyDescent="0.3">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row>
    <row r="438" spans="1:31" x14ac:dyDescent="0.3">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row>
    <row r="439" spans="1:31" x14ac:dyDescent="0.3">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row>
    <row r="440" spans="1:31" x14ac:dyDescent="0.3">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row>
    <row r="441" spans="1:31" x14ac:dyDescent="0.3">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row>
    <row r="442" spans="1:31" x14ac:dyDescent="0.3">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row>
    <row r="443" spans="1:31" x14ac:dyDescent="0.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row>
    <row r="444" spans="1:31" x14ac:dyDescent="0.3">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row>
    <row r="445" spans="1:31" x14ac:dyDescent="0.3">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row>
    <row r="446" spans="1:31" x14ac:dyDescent="0.3">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row>
    <row r="447" spans="1:31" x14ac:dyDescent="0.3">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row>
    <row r="448" spans="1:31" x14ac:dyDescent="0.3">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row>
    <row r="449" spans="1:31" x14ac:dyDescent="0.3">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row>
    <row r="450" spans="1:31" x14ac:dyDescent="0.3">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row>
    <row r="451" spans="1:31" x14ac:dyDescent="0.3">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row>
    <row r="452" spans="1:31" x14ac:dyDescent="0.3">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row>
    <row r="453" spans="1:31" x14ac:dyDescent="0.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row>
    <row r="454" spans="1:31" x14ac:dyDescent="0.3">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row>
    <row r="455" spans="1:31" x14ac:dyDescent="0.3">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row>
    <row r="456" spans="1:31" x14ac:dyDescent="0.3">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row>
    <row r="457" spans="1:31" x14ac:dyDescent="0.3">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row>
    <row r="458" spans="1:31" x14ac:dyDescent="0.3">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row>
    <row r="459" spans="1:31" x14ac:dyDescent="0.3">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row>
    <row r="460" spans="1:31" x14ac:dyDescent="0.3">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row>
    <row r="461" spans="1:31" x14ac:dyDescent="0.3">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row>
    <row r="462" spans="1:31" x14ac:dyDescent="0.3">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row>
    <row r="463" spans="1:31" x14ac:dyDescent="0.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row>
    <row r="464" spans="1:31" x14ac:dyDescent="0.3">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row>
    <row r="465" spans="1:31" x14ac:dyDescent="0.3">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row>
    <row r="466" spans="1:31" x14ac:dyDescent="0.3">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row>
    <row r="467" spans="1:31" x14ac:dyDescent="0.3">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row>
    <row r="468" spans="1:31" x14ac:dyDescent="0.3">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row>
    <row r="469" spans="1:31" x14ac:dyDescent="0.3">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row>
    <row r="470" spans="1:31" x14ac:dyDescent="0.3">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row>
    <row r="471" spans="1:31" x14ac:dyDescent="0.3">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row>
    <row r="472" spans="1:31" x14ac:dyDescent="0.3">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row>
    <row r="473" spans="1:31" x14ac:dyDescent="0.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row>
    <row r="474" spans="1:31" x14ac:dyDescent="0.3">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row>
    <row r="475" spans="1:31" x14ac:dyDescent="0.3">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row>
    <row r="476" spans="1:31" x14ac:dyDescent="0.3">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row>
    <row r="477" spans="1:31" x14ac:dyDescent="0.3">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row>
    <row r="478" spans="1:31" x14ac:dyDescent="0.3">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row>
    <row r="479" spans="1:31" x14ac:dyDescent="0.3">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row>
    <row r="480" spans="1:31" x14ac:dyDescent="0.3">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row>
    <row r="481" spans="1:31" x14ac:dyDescent="0.3">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row>
    <row r="482" spans="1:31" x14ac:dyDescent="0.3">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row>
    <row r="483" spans="1:31" x14ac:dyDescent="0.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row>
    <row r="484" spans="1:31" x14ac:dyDescent="0.3">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row>
    <row r="485" spans="1:31" x14ac:dyDescent="0.3">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row>
    <row r="486" spans="1:31" x14ac:dyDescent="0.3">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row>
    <row r="487" spans="1:31" x14ac:dyDescent="0.3">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row>
    <row r="488" spans="1:31" x14ac:dyDescent="0.3">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row>
    <row r="489" spans="1:31" x14ac:dyDescent="0.3">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row>
    <row r="490" spans="1:31" x14ac:dyDescent="0.3">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row>
    <row r="491" spans="1:31" x14ac:dyDescent="0.3">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row>
    <row r="492" spans="1:31" x14ac:dyDescent="0.3">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row>
    <row r="493" spans="1:31" x14ac:dyDescent="0.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row>
    <row r="494" spans="1:31" x14ac:dyDescent="0.3">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row>
    <row r="495" spans="1:31" x14ac:dyDescent="0.3">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row>
    <row r="496" spans="1:31" x14ac:dyDescent="0.3">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row>
    <row r="497" spans="1:31" x14ac:dyDescent="0.3">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row>
    <row r="498" spans="1:31" x14ac:dyDescent="0.3">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row>
    <row r="499" spans="1:31" x14ac:dyDescent="0.3">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row>
    <row r="500" spans="1:31" x14ac:dyDescent="0.3">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row>
    <row r="501" spans="1:31" x14ac:dyDescent="0.3">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row>
    <row r="502" spans="1:31" x14ac:dyDescent="0.3">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row>
    <row r="503" spans="1:31" x14ac:dyDescent="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row>
    <row r="504" spans="1:31" x14ac:dyDescent="0.3">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row>
    <row r="505" spans="1:31" x14ac:dyDescent="0.3">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row>
    <row r="506" spans="1:31" x14ac:dyDescent="0.3">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row>
    <row r="507" spans="1:31" x14ac:dyDescent="0.3">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row>
    <row r="508" spans="1:31" x14ac:dyDescent="0.3">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row>
    <row r="509" spans="1:31" x14ac:dyDescent="0.3">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row>
    <row r="510" spans="1:31" x14ac:dyDescent="0.3">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row>
    <row r="511" spans="1:31" x14ac:dyDescent="0.3">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row>
    <row r="512" spans="1:31" x14ac:dyDescent="0.3">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row>
    <row r="513" spans="1:31" x14ac:dyDescent="0.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row>
    <row r="514" spans="1:31" x14ac:dyDescent="0.3">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row>
    <row r="515" spans="1:31" x14ac:dyDescent="0.3">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row>
    <row r="516" spans="1:31" x14ac:dyDescent="0.3">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row>
    <row r="517" spans="1:31" x14ac:dyDescent="0.3">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row>
    <row r="518" spans="1:31" x14ac:dyDescent="0.3">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row>
    <row r="519" spans="1:31" x14ac:dyDescent="0.3">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row>
    <row r="520" spans="1:31" x14ac:dyDescent="0.3">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row>
    <row r="521" spans="1:31" x14ac:dyDescent="0.3">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row>
    <row r="522" spans="1:31" x14ac:dyDescent="0.3">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row>
    <row r="523" spans="1:31" x14ac:dyDescent="0.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row>
    <row r="524" spans="1:31" x14ac:dyDescent="0.3">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row>
    <row r="525" spans="1:31" x14ac:dyDescent="0.3">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row>
    <row r="526" spans="1:31" x14ac:dyDescent="0.3">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row>
    <row r="527" spans="1:31" x14ac:dyDescent="0.3">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row>
    <row r="528" spans="1:31" x14ac:dyDescent="0.3">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row>
    <row r="529" spans="1:31" x14ac:dyDescent="0.3">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row>
    <row r="530" spans="1:31" x14ac:dyDescent="0.3">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row>
    <row r="531" spans="1:31" x14ac:dyDescent="0.3">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row>
    <row r="532" spans="1:31" x14ac:dyDescent="0.3">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row>
    <row r="533" spans="1:31" x14ac:dyDescent="0.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row>
    <row r="534" spans="1:31" x14ac:dyDescent="0.3">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row>
    <row r="535" spans="1:31" x14ac:dyDescent="0.3">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row>
    <row r="536" spans="1:31" x14ac:dyDescent="0.3">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row>
    <row r="537" spans="1:31" x14ac:dyDescent="0.3">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row>
    <row r="538" spans="1:31" x14ac:dyDescent="0.3">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row>
    <row r="539" spans="1:31" x14ac:dyDescent="0.3">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row>
    <row r="540" spans="1:31" x14ac:dyDescent="0.3">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row>
    <row r="541" spans="1:31" x14ac:dyDescent="0.3">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row>
    <row r="542" spans="1:31" x14ac:dyDescent="0.3">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row>
    <row r="543" spans="1:31" x14ac:dyDescent="0.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row>
    <row r="544" spans="1:31" x14ac:dyDescent="0.3">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row>
    <row r="545" spans="1:31" x14ac:dyDescent="0.3">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row>
    <row r="546" spans="1:31" x14ac:dyDescent="0.3">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row>
    <row r="547" spans="1:31" x14ac:dyDescent="0.3">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row>
    <row r="548" spans="1:31" x14ac:dyDescent="0.3">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row>
    <row r="549" spans="1:31" x14ac:dyDescent="0.3">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row>
    <row r="550" spans="1:31" x14ac:dyDescent="0.3">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row>
    <row r="551" spans="1:31" x14ac:dyDescent="0.3">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row>
    <row r="552" spans="1:31" x14ac:dyDescent="0.3">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row>
    <row r="553" spans="1:31" x14ac:dyDescent="0.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row>
    <row r="554" spans="1:31" x14ac:dyDescent="0.3">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row>
    <row r="555" spans="1:31" x14ac:dyDescent="0.3">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row>
    <row r="556" spans="1:31" x14ac:dyDescent="0.3">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row>
    <row r="557" spans="1:31" x14ac:dyDescent="0.3">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row>
    <row r="558" spans="1:31" x14ac:dyDescent="0.3">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row>
    <row r="559" spans="1:31" x14ac:dyDescent="0.3">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row>
    <row r="560" spans="1:31" x14ac:dyDescent="0.3">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row>
    <row r="561" spans="1:31" x14ac:dyDescent="0.3">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row>
    <row r="562" spans="1:31" x14ac:dyDescent="0.3">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row>
    <row r="563" spans="1:31" x14ac:dyDescent="0.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row>
    <row r="564" spans="1:31" x14ac:dyDescent="0.3">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row>
    <row r="565" spans="1:31" x14ac:dyDescent="0.3">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row>
    <row r="566" spans="1:31" x14ac:dyDescent="0.3">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row>
    <row r="567" spans="1:31" x14ac:dyDescent="0.3">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row>
    <row r="568" spans="1:31" x14ac:dyDescent="0.3">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row>
    <row r="569" spans="1:31" x14ac:dyDescent="0.3">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row>
    <row r="570" spans="1:31" x14ac:dyDescent="0.3">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row>
    <row r="571" spans="1:31" x14ac:dyDescent="0.3">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row>
    <row r="572" spans="1:31" x14ac:dyDescent="0.3">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row>
    <row r="573" spans="1:31" x14ac:dyDescent="0.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row>
    <row r="574" spans="1:31" x14ac:dyDescent="0.3">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row>
    <row r="575" spans="1:31" x14ac:dyDescent="0.3">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row>
    <row r="576" spans="1:31" x14ac:dyDescent="0.3">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row>
    <row r="577" spans="1:31" x14ac:dyDescent="0.3">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row>
    <row r="578" spans="1:31" x14ac:dyDescent="0.3">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row>
    <row r="579" spans="1:31" x14ac:dyDescent="0.3">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row>
    <row r="580" spans="1:31" x14ac:dyDescent="0.3">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row>
    <row r="581" spans="1:31" x14ac:dyDescent="0.3">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row>
    <row r="582" spans="1:31" x14ac:dyDescent="0.3">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row>
    <row r="583" spans="1:31" x14ac:dyDescent="0.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row>
    <row r="584" spans="1:31" x14ac:dyDescent="0.3">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row>
    <row r="585" spans="1:31" x14ac:dyDescent="0.3">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row>
    <row r="586" spans="1:31" x14ac:dyDescent="0.3">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row>
    <row r="587" spans="1:31" x14ac:dyDescent="0.3">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row>
    <row r="588" spans="1:31" x14ac:dyDescent="0.3">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row>
    <row r="589" spans="1:31" x14ac:dyDescent="0.3">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row>
    <row r="590" spans="1:31" x14ac:dyDescent="0.3">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row>
    <row r="591" spans="1:31" x14ac:dyDescent="0.3">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row>
    <row r="592" spans="1:31" x14ac:dyDescent="0.3">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row>
    <row r="593" spans="1:31" x14ac:dyDescent="0.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row>
    <row r="594" spans="1:31" x14ac:dyDescent="0.3">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row>
    <row r="595" spans="1:31" x14ac:dyDescent="0.3">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row>
    <row r="596" spans="1:31" x14ac:dyDescent="0.3">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row>
    <row r="597" spans="1:31" x14ac:dyDescent="0.3">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row>
    <row r="598" spans="1:31" x14ac:dyDescent="0.3">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row>
    <row r="599" spans="1:31" x14ac:dyDescent="0.3">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row>
    <row r="600" spans="1:31" x14ac:dyDescent="0.3">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row>
    <row r="601" spans="1:31" x14ac:dyDescent="0.3">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row>
    <row r="602" spans="1:31" x14ac:dyDescent="0.3">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row>
    <row r="603" spans="1:31" x14ac:dyDescent="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row>
    <row r="604" spans="1:31" x14ac:dyDescent="0.3">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row>
    <row r="605" spans="1:31" x14ac:dyDescent="0.3">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row>
    <row r="606" spans="1:31" x14ac:dyDescent="0.3">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row>
    <row r="607" spans="1:31" x14ac:dyDescent="0.3">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row>
    <row r="608" spans="1:31" x14ac:dyDescent="0.3">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row>
    <row r="609" spans="1:31" x14ac:dyDescent="0.3">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row>
    <row r="610" spans="1:31" x14ac:dyDescent="0.3">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row>
    <row r="611" spans="1:31" x14ac:dyDescent="0.3">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row>
    <row r="612" spans="1:31" x14ac:dyDescent="0.3">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row>
    <row r="613" spans="1:31" x14ac:dyDescent="0.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row>
    <row r="614" spans="1:31" x14ac:dyDescent="0.3">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row>
    <row r="615" spans="1:31" x14ac:dyDescent="0.3">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row>
    <row r="616" spans="1:31" x14ac:dyDescent="0.3">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row>
    <row r="617" spans="1:31" x14ac:dyDescent="0.3">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row>
    <row r="618" spans="1:31" x14ac:dyDescent="0.3">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row>
    <row r="619" spans="1:31" x14ac:dyDescent="0.3">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row>
    <row r="620" spans="1:31" x14ac:dyDescent="0.3">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row>
    <row r="621" spans="1:31" x14ac:dyDescent="0.3">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row>
    <row r="622" spans="1:31" x14ac:dyDescent="0.3">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row>
    <row r="623" spans="1:31" x14ac:dyDescent="0.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row>
    <row r="624" spans="1:31" x14ac:dyDescent="0.3">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row>
    <row r="625" spans="1:31" x14ac:dyDescent="0.3">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row>
    <row r="626" spans="1:31" x14ac:dyDescent="0.3">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row>
    <row r="627" spans="1:31" x14ac:dyDescent="0.3">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row>
    <row r="628" spans="1:31" x14ac:dyDescent="0.3">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row>
    <row r="629" spans="1:31" x14ac:dyDescent="0.3">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row>
    <row r="630" spans="1:31" x14ac:dyDescent="0.3">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row>
    <row r="631" spans="1:31" x14ac:dyDescent="0.3">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row>
    <row r="632" spans="1:31" x14ac:dyDescent="0.3">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row>
    <row r="633" spans="1:31" x14ac:dyDescent="0.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row>
    <row r="634" spans="1:31" x14ac:dyDescent="0.3">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row>
    <row r="635" spans="1:31" x14ac:dyDescent="0.3">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row>
    <row r="636" spans="1:31" x14ac:dyDescent="0.3">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row>
    <row r="637" spans="1:31" x14ac:dyDescent="0.3">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row>
    <row r="638" spans="1:31" x14ac:dyDescent="0.3">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row>
    <row r="639" spans="1:31" x14ac:dyDescent="0.3">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row>
    <row r="640" spans="1:31" x14ac:dyDescent="0.3">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row>
    <row r="641" spans="1:31" x14ac:dyDescent="0.3">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row>
    <row r="642" spans="1:31" x14ac:dyDescent="0.3">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row>
    <row r="643" spans="1:31" x14ac:dyDescent="0.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row>
    <row r="644" spans="1:31" x14ac:dyDescent="0.3">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row>
    <row r="645" spans="1:31" x14ac:dyDescent="0.3">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row>
    <row r="646" spans="1:31" x14ac:dyDescent="0.3">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row>
    <row r="647" spans="1:31" x14ac:dyDescent="0.3">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row>
    <row r="648" spans="1:31" x14ac:dyDescent="0.3">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row>
    <row r="649" spans="1:31" x14ac:dyDescent="0.3">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row>
    <row r="650" spans="1:31" x14ac:dyDescent="0.3">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row>
    <row r="651" spans="1:31" x14ac:dyDescent="0.3">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row>
    <row r="652" spans="1:31" x14ac:dyDescent="0.3">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row>
    <row r="653" spans="1:31" x14ac:dyDescent="0.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row>
    <row r="654" spans="1:31" x14ac:dyDescent="0.3">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row>
    <row r="655" spans="1:31" x14ac:dyDescent="0.3">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row>
    <row r="656" spans="1:31" x14ac:dyDescent="0.3">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row>
    <row r="657" spans="1:31" x14ac:dyDescent="0.3">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row>
    <row r="658" spans="1:31" x14ac:dyDescent="0.3">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row>
    <row r="659" spans="1:31" x14ac:dyDescent="0.3">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row>
    <row r="660" spans="1:31" x14ac:dyDescent="0.3">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row>
    <row r="661" spans="1:31" x14ac:dyDescent="0.3">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row>
    <row r="662" spans="1:31" x14ac:dyDescent="0.3">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row>
    <row r="663" spans="1:31" x14ac:dyDescent="0.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row>
    <row r="664" spans="1:31" x14ac:dyDescent="0.3">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row>
    <row r="665" spans="1:31" x14ac:dyDescent="0.3">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row>
    <row r="666" spans="1:31" x14ac:dyDescent="0.3">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row>
    <row r="667" spans="1:31" x14ac:dyDescent="0.3">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row>
    <row r="668" spans="1:31" x14ac:dyDescent="0.3">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row>
    <row r="669" spans="1:31" x14ac:dyDescent="0.3">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row>
    <row r="670" spans="1:31" x14ac:dyDescent="0.3">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row>
    <row r="671" spans="1:31" x14ac:dyDescent="0.3">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row>
    <row r="672" spans="1:31" x14ac:dyDescent="0.3">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row>
    <row r="673" spans="1:31" x14ac:dyDescent="0.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row>
    <row r="674" spans="1:31" x14ac:dyDescent="0.3">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row>
    <row r="675" spans="1:31" x14ac:dyDescent="0.3">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row>
    <row r="676" spans="1:31" x14ac:dyDescent="0.3">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row>
    <row r="677" spans="1:31" x14ac:dyDescent="0.3">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row>
    <row r="678" spans="1:31" x14ac:dyDescent="0.3">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row>
    <row r="679" spans="1:31" x14ac:dyDescent="0.3">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row>
    <row r="680" spans="1:31" x14ac:dyDescent="0.3">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row>
    <row r="681" spans="1:31" x14ac:dyDescent="0.3">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row>
    <row r="682" spans="1:31" x14ac:dyDescent="0.3">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row>
    <row r="683" spans="1:31" x14ac:dyDescent="0.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row>
    <row r="684" spans="1:31" x14ac:dyDescent="0.3">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row>
    <row r="685" spans="1:31" x14ac:dyDescent="0.3">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row>
    <row r="686" spans="1:31" x14ac:dyDescent="0.3">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row>
    <row r="687" spans="1:31" x14ac:dyDescent="0.3">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row>
    <row r="688" spans="1:31" x14ac:dyDescent="0.3">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row>
    <row r="689" spans="1:31" x14ac:dyDescent="0.3">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row>
    <row r="690" spans="1:31" x14ac:dyDescent="0.3">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row>
    <row r="691" spans="1:31" x14ac:dyDescent="0.3">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row>
    <row r="692" spans="1:31" x14ac:dyDescent="0.3">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row>
    <row r="693" spans="1:31" x14ac:dyDescent="0.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row>
    <row r="694" spans="1:31" x14ac:dyDescent="0.3">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row>
    <row r="695" spans="1:31" x14ac:dyDescent="0.3">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row>
    <row r="696" spans="1:31" x14ac:dyDescent="0.3">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row>
    <row r="697" spans="1:31" x14ac:dyDescent="0.3">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row>
    <row r="698" spans="1:31" x14ac:dyDescent="0.3">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row>
    <row r="699" spans="1:31" x14ac:dyDescent="0.3">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row>
    <row r="700" spans="1:31" x14ac:dyDescent="0.3">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row>
    <row r="701" spans="1:31" x14ac:dyDescent="0.3">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row>
  </sheetData>
  <mergeCells count="1">
    <mergeCell ref="A1:Y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78CA6-FDB5-41D0-8E62-D42277334D0A}">
  <dimension ref="A3:B5"/>
  <sheetViews>
    <sheetView workbookViewId="0">
      <selection activeCell="M19" sqref="M19"/>
    </sheetView>
  </sheetViews>
  <sheetFormatPr defaultRowHeight="14.4" x14ac:dyDescent="0.3"/>
  <cols>
    <col min="1" max="1" width="12.5546875" bestFit="1" customWidth="1"/>
    <col min="2" max="2" width="20.88671875" bestFit="1" customWidth="1"/>
  </cols>
  <sheetData>
    <row r="3" spans="1:2" x14ac:dyDescent="0.3">
      <c r="A3" s="3" t="s">
        <v>530</v>
      </c>
      <c r="B3" t="s">
        <v>540</v>
      </c>
    </row>
    <row r="4" spans="1:2" x14ac:dyDescent="0.3">
      <c r="A4" s="4" t="s">
        <v>538</v>
      </c>
      <c r="B4" s="11">
        <v>9218418.0699999966</v>
      </c>
    </row>
    <row r="5" spans="1:2" x14ac:dyDescent="0.3">
      <c r="A5" s="4" t="s">
        <v>539</v>
      </c>
      <c r="B5" s="11">
        <v>3620522.6600000015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AEDAE-4AD6-4E0F-B17A-B02EC6D34887}">
  <dimension ref="A3:B10"/>
  <sheetViews>
    <sheetView workbookViewId="0">
      <selection activeCell="M13" sqref="M13"/>
    </sheetView>
  </sheetViews>
  <sheetFormatPr defaultRowHeight="14.4" x14ac:dyDescent="0.3"/>
  <cols>
    <col min="1" max="1" width="12.5546875" bestFit="1" customWidth="1"/>
    <col min="2" max="2" width="20.88671875" bestFit="1" customWidth="1"/>
  </cols>
  <sheetData>
    <row r="3" spans="1:2" x14ac:dyDescent="0.3">
      <c r="A3" s="3" t="s">
        <v>530</v>
      </c>
      <c r="B3" t="s">
        <v>540</v>
      </c>
    </row>
    <row r="4" spans="1:2" x14ac:dyDescent="0.3">
      <c r="A4" s="4" t="s">
        <v>512</v>
      </c>
      <c r="B4" s="11">
        <v>1942926.5000000005</v>
      </c>
    </row>
    <row r="5" spans="1:2" x14ac:dyDescent="0.3">
      <c r="A5" s="4" t="s">
        <v>514</v>
      </c>
      <c r="B5" s="11">
        <v>1677596.16</v>
      </c>
    </row>
    <row r="6" spans="1:2" x14ac:dyDescent="0.3">
      <c r="A6" s="4" t="s">
        <v>510</v>
      </c>
      <c r="B6" s="11">
        <v>2027866.9200000004</v>
      </c>
    </row>
    <row r="7" spans="1:2" x14ac:dyDescent="0.3">
      <c r="A7" s="4" t="s">
        <v>509</v>
      </c>
      <c r="B7" s="11">
        <v>1995697.0499999993</v>
      </c>
    </row>
    <row r="8" spans="1:2" x14ac:dyDescent="0.3">
      <c r="A8" s="4" t="s">
        <v>515</v>
      </c>
      <c r="B8" s="11">
        <v>1920143.3499999996</v>
      </c>
    </row>
    <row r="9" spans="1:2" x14ac:dyDescent="0.3">
      <c r="A9" s="4" t="s">
        <v>513</v>
      </c>
      <c r="B9" s="11">
        <v>1516796.3299999998</v>
      </c>
    </row>
    <row r="10" spans="1:2" x14ac:dyDescent="0.3">
      <c r="A10" s="4" t="s">
        <v>511</v>
      </c>
      <c r="B10" s="11">
        <v>1757914.4199999995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0470A-ED6B-4449-A668-EA5BA7CDCE54}">
  <dimension ref="A3:B8"/>
  <sheetViews>
    <sheetView workbookViewId="0">
      <selection activeCell="N16" sqref="N16"/>
    </sheetView>
  </sheetViews>
  <sheetFormatPr defaultRowHeight="14.4" x14ac:dyDescent="0.3"/>
  <cols>
    <col min="1" max="1" width="12.5546875" bestFit="1" customWidth="1"/>
    <col min="2" max="2" width="20.88671875" bestFit="1" customWidth="1"/>
  </cols>
  <sheetData>
    <row r="3" spans="1:2" x14ac:dyDescent="0.3">
      <c r="A3" s="3" t="s">
        <v>530</v>
      </c>
      <c r="B3" t="s">
        <v>540</v>
      </c>
    </row>
    <row r="4" spans="1:2" x14ac:dyDescent="0.3">
      <c r="A4" s="4" t="s">
        <v>528</v>
      </c>
      <c r="B4" s="11">
        <v>2779092.0700000003</v>
      </c>
    </row>
    <row r="5" spans="1:2" x14ac:dyDescent="0.3">
      <c r="A5" s="4" t="s">
        <v>526</v>
      </c>
      <c r="B5" s="11">
        <v>2611748.9</v>
      </c>
    </row>
    <row r="6" spans="1:2" x14ac:dyDescent="0.3">
      <c r="A6" s="4" t="s">
        <v>527</v>
      </c>
      <c r="B6" s="11">
        <v>2605362.66</v>
      </c>
    </row>
    <row r="7" spans="1:2" x14ac:dyDescent="0.3">
      <c r="A7" s="4" t="s">
        <v>525</v>
      </c>
      <c r="B7" s="11">
        <v>2670053.4100000006</v>
      </c>
    </row>
    <row r="8" spans="1:2" x14ac:dyDescent="0.3">
      <c r="A8" s="4" t="s">
        <v>524</v>
      </c>
      <c r="B8" s="11">
        <v>2172683.6900000004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D7D1D-A5C5-4012-B334-B4A2B67D5FE7}">
  <dimension ref="A3:B7"/>
  <sheetViews>
    <sheetView workbookViewId="0">
      <selection activeCell="L2" sqref="L2"/>
    </sheetView>
  </sheetViews>
  <sheetFormatPr defaultRowHeight="14.4" x14ac:dyDescent="0.3"/>
  <cols>
    <col min="1" max="1" width="12.5546875" bestFit="1" customWidth="1"/>
    <col min="2" max="2" width="17.44140625" bestFit="1" customWidth="1"/>
  </cols>
  <sheetData>
    <row r="3" spans="1:2" x14ac:dyDescent="0.3">
      <c r="A3" s="3" t="s">
        <v>530</v>
      </c>
      <c r="B3" t="s">
        <v>541</v>
      </c>
    </row>
    <row r="4" spans="1:2" x14ac:dyDescent="0.3">
      <c r="A4" s="4" t="s">
        <v>518</v>
      </c>
      <c r="B4" s="11">
        <v>132</v>
      </c>
    </row>
    <row r="5" spans="1:2" x14ac:dyDescent="0.3">
      <c r="A5" s="4" t="s">
        <v>516</v>
      </c>
      <c r="B5" s="11">
        <v>115</v>
      </c>
    </row>
    <row r="6" spans="1:2" x14ac:dyDescent="0.3">
      <c r="A6" s="4" t="s">
        <v>517</v>
      </c>
      <c r="B6" s="11">
        <v>123</v>
      </c>
    </row>
    <row r="7" spans="1:2" x14ac:dyDescent="0.3">
      <c r="A7" s="4" t="s">
        <v>519</v>
      </c>
      <c r="B7" s="11">
        <v>130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681C0-6AA5-47C3-BF15-A77AB5021E7E}">
  <dimension ref="A3:B7"/>
  <sheetViews>
    <sheetView workbookViewId="0">
      <selection activeCell="P13" sqref="P13"/>
    </sheetView>
  </sheetViews>
  <sheetFormatPr defaultRowHeight="14.4" x14ac:dyDescent="0.3"/>
  <cols>
    <col min="1" max="1" width="12.5546875" bestFit="1" customWidth="1"/>
    <col min="2" max="2" width="18.88671875" bestFit="1" customWidth="1"/>
  </cols>
  <sheetData>
    <row r="3" spans="1:2" x14ac:dyDescent="0.3">
      <c r="A3" s="3" t="s">
        <v>530</v>
      </c>
      <c r="B3" t="s">
        <v>542</v>
      </c>
    </row>
    <row r="4" spans="1:2" x14ac:dyDescent="0.3">
      <c r="A4" s="4" t="s">
        <v>518</v>
      </c>
      <c r="B4" s="11">
        <v>11.780303030303031</v>
      </c>
    </row>
    <row r="5" spans="1:2" x14ac:dyDescent="0.3">
      <c r="A5" s="4" t="s">
        <v>516</v>
      </c>
      <c r="B5" s="11">
        <v>12.034782608695652</v>
      </c>
    </row>
    <row r="6" spans="1:2" x14ac:dyDescent="0.3">
      <c r="A6" s="4" t="s">
        <v>517</v>
      </c>
      <c r="B6" s="11">
        <v>11.333333333333334</v>
      </c>
    </row>
    <row r="7" spans="1:2" x14ac:dyDescent="0.3">
      <c r="A7" s="4" t="s">
        <v>519</v>
      </c>
      <c r="B7" s="11">
        <v>12.946153846153846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CE8E1-66C6-4499-80B1-36E3D094D94B}">
  <dimension ref="A3:B10"/>
  <sheetViews>
    <sheetView workbookViewId="0">
      <selection activeCell="N9" sqref="N9"/>
    </sheetView>
  </sheetViews>
  <sheetFormatPr defaultRowHeight="14.4" x14ac:dyDescent="0.3"/>
  <cols>
    <col min="1" max="1" width="12.5546875" bestFit="1" customWidth="1"/>
    <col min="2" max="2" width="21.44140625" bestFit="1" customWidth="1"/>
    <col min="3" max="3" width="9.5546875" bestFit="1" customWidth="1"/>
    <col min="4" max="4" width="10.77734375" bestFit="1" customWidth="1"/>
  </cols>
  <sheetData>
    <row r="3" spans="1:2" x14ac:dyDescent="0.3">
      <c r="A3" s="3" t="s">
        <v>530</v>
      </c>
      <c r="B3" t="s">
        <v>543</v>
      </c>
    </row>
    <row r="4" spans="1:2" x14ac:dyDescent="0.3">
      <c r="A4" s="4" t="s">
        <v>514</v>
      </c>
      <c r="B4" s="11">
        <v>15155</v>
      </c>
    </row>
    <row r="5" spans="1:2" x14ac:dyDescent="0.3">
      <c r="A5" s="4" t="s">
        <v>513</v>
      </c>
      <c r="B5" s="11">
        <v>16692</v>
      </c>
    </row>
    <row r="6" spans="1:2" x14ac:dyDescent="0.3">
      <c r="A6" s="4" t="s">
        <v>511</v>
      </c>
      <c r="B6" s="11">
        <v>17650</v>
      </c>
    </row>
    <row r="7" spans="1:2" x14ac:dyDescent="0.3">
      <c r="A7" s="4" t="s">
        <v>510</v>
      </c>
      <c r="B7" s="11">
        <v>18275</v>
      </c>
    </row>
    <row r="8" spans="1:2" x14ac:dyDescent="0.3">
      <c r="A8" s="4" t="s">
        <v>509</v>
      </c>
      <c r="B8" s="11">
        <v>19063</v>
      </c>
    </row>
    <row r="9" spans="1:2" x14ac:dyDescent="0.3">
      <c r="A9" s="4" t="s">
        <v>515</v>
      </c>
      <c r="B9" s="11">
        <v>19421</v>
      </c>
    </row>
    <row r="10" spans="1:2" x14ac:dyDescent="0.3">
      <c r="A10" s="4" t="s">
        <v>512</v>
      </c>
      <c r="B10" s="11">
        <v>19585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FEB15-2D3F-4367-8B80-885EBB43FDA5}">
  <dimension ref="A1:R501"/>
  <sheetViews>
    <sheetView topLeftCell="A2" workbookViewId="0">
      <selection activeCell="C3" sqref="C3"/>
    </sheetView>
  </sheetViews>
  <sheetFormatPr defaultRowHeight="14.4" x14ac:dyDescent="0.3"/>
  <cols>
    <col min="1" max="1" width="16.21875" customWidth="1"/>
    <col min="2" max="2" width="18.33203125" customWidth="1"/>
    <col min="3" max="3" width="19.21875" bestFit="1" customWidth="1"/>
    <col min="4" max="5" width="20.21875" customWidth="1"/>
    <col min="6" max="6" width="14.44140625" customWidth="1"/>
    <col min="7" max="8" width="23.6640625" bestFit="1" customWidth="1"/>
    <col min="9" max="9" width="20.21875" customWidth="1"/>
    <col min="10" max="10" width="14.33203125" customWidth="1"/>
    <col min="11" max="11" width="18.77734375" bestFit="1" customWidth="1"/>
    <col min="16" max="16" width="14.21875" customWidth="1"/>
    <col min="17" max="17" width="10.21875" customWidth="1"/>
  </cols>
  <sheetData>
    <row r="1" spans="1:18" x14ac:dyDescent="0.3">
      <c r="A1" s="1" t="s">
        <v>0</v>
      </c>
      <c r="B1" s="1" t="s">
        <v>1</v>
      </c>
      <c r="C1" s="1" t="s">
        <v>537</v>
      </c>
      <c r="D1" s="1" t="s">
        <v>2</v>
      </c>
      <c r="E1" s="1" t="s">
        <v>3</v>
      </c>
      <c r="F1" s="1" t="s">
        <v>529</v>
      </c>
      <c r="G1" s="1" t="s">
        <v>4</v>
      </c>
      <c r="H1" s="1" t="s">
        <v>5</v>
      </c>
      <c r="I1" s="1" t="s">
        <v>6</v>
      </c>
      <c r="J1" s="1" t="s">
        <v>7</v>
      </c>
      <c r="K1" s="1" t="s">
        <v>8</v>
      </c>
      <c r="L1" s="1" t="s">
        <v>535</v>
      </c>
    </row>
    <row r="2" spans="1:18" x14ac:dyDescent="0.3">
      <c r="A2" s="2" t="s">
        <v>9</v>
      </c>
      <c r="B2" s="2" t="s">
        <v>509</v>
      </c>
      <c r="C2" s="2" t="str">
        <f>_xlfn.XLOOKUP(Table24[[#This Row],[ProductName]],Table4[Product name],Table4[Category],"Not Found",0)</f>
        <v>Electronics</v>
      </c>
      <c r="D2" s="2">
        <v>97</v>
      </c>
      <c r="E2" s="2">
        <v>81</v>
      </c>
      <c r="F2" s="2" t="str" cm="1">
        <f t="array" ref="F2">_xlfn.IFS(Table24[[#This Row],[QuantityInStock]]&lt;=Table24[[#This Row],[ReorderPoint]],"Low Stock",Table24[[#This Row],[QuantityInStock]]&gt;Table24[[#This Row],[ReorderPoint]],"Adequate Stock",Table24[[#This Row],[QuantityInStock]]=0,"Out Of Stock")</f>
        <v>Adequate Stock</v>
      </c>
      <c r="G2" s="2" t="s">
        <v>516</v>
      </c>
      <c r="H2" s="2" t="s">
        <v>520</v>
      </c>
      <c r="I2" s="2">
        <v>17</v>
      </c>
      <c r="J2" s="2" t="s">
        <v>524</v>
      </c>
      <c r="K2" s="2">
        <v>174.13</v>
      </c>
      <c r="L2" s="6">
        <f>Table24[[#This Row],[QuantityInStock]]*Table24[[#This Row],[UnitCost]]</f>
        <v>16890.61</v>
      </c>
    </row>
    <row r="3" spans="1:18" x14ac:dyDescent="0.3">
      <c r="A3" s="2" t="s">
        <v>10</v>
      </c>
      <c r="B3" s="2" t="s">
        <v>509</v>
      </c>
      <c r="C3" s="2" t="str">
        <f>_xlfn.XLOOKUP(Table24[[#This Row],[ProductName]],Table4[Product name],Table4[Category],"Not Found",0)</f>
        <v>Electronics</v>
      </c>
      <c r="D3" s="2">
        <v>229</v>
      </c>
      <c r="E3" s="2">
        <v>32</v>
      </c>
      <c r="F3" s="2" t="str" cm="1">
        <f t="array" ref="F3">_xlfn.IFS(Table24[[#This Row],[QuantityInStock]]&lt;=Table24[[#This Row],[ReorderPoint]],"Low Stock",Table24[[#This Row],[QuantityInStock]]&gt;Table24[[#This Row],[ReorderPoint]],"Adequate Stock",Table24[[#This Row],[QuantityInStock]]=0,"Out Of Stock")</f>
        <v>Adequate Stock</v>
      </c>
      <c r="G3" s="2" t="s">
        <v>517</v>
      </c>
      <c r="H3" s="2" t="s">
        <v>521</v>
      </c>
      <c r="I3" s="2">
        <v>19</v>
      </c>
      <c r="J3" s="2" t="s">
        <v>525</v>
      </c>
      <c r="K3" s="2">
        <v>91.07</v>
      </c>
      <c r="L3" s="2">
        <f>Table24[[#This Row],[QuantityInStock]]*Table24[[#This Row],[UnitCost]]</f>
        <v>20855.03</v>
      </c>
    </row>
    <row r="4" spans="1:18" x14ac:dyDescent="0.3">
      <c r="A4" s="2" t="s">
        <v>11</v>
      </c>
      <c r="B4" s="2" t="s">
        <v>510</v>
      </c>
      <c r="C4" s="2" t="str">
        <f>_xlfn.XLOOKUP(Table24[[#This Row],[ProductName]],Table4[Product name],Table4[Category],"Not Found",0)</f>
        <v>Electronics</v>
      </c>
      <c r="D4" s="2">
        <v>15</v>
      </c>
      <c r="E4" s="2">
        <v>72</v>
      </c>
      <c r="F4" s="2" t="str" cm="1">
        <f t="array" ref="F4">_xlfn.IFS(Table24[[#This Row],[QuantityInStock]]&lt;=Table24[[#This Row],[ReorderPoint]],"Low Stock",Table24[[#This Row],[QuantityInStock]]&gt;Table24[[#This Row],[ReorderPoint]],"Adequate Stock",Table24[[#This Row],[QuantityInStock]]=0,"Out Of Stock")</f>
        <v>Low Stock</v>
      </c>
      <c r="G4" s="2" t="s">
        <v>516</v>
      </c>
      <c r="H4" s="2" t="s">
        <v>520</v>
      </c>
      <c r="I4" s="2">
        <v>13</v>
      </c>
      <c r="J4" s="2" t="s">
        <v>524</v>
      </c>
      <c r="K4" s="2">
        <v>179.93</v>
      </c>
      <c r="L4" s="2">
        <f>Table24[[#This Row],[QuantityInStock]]*Table24[[#This Row],[UnitCost]]</f>
        <v>2698.9500000000003</v>
      </c>
    </row>
    <row r="5" spans="1:18" x14ac:dyDescent="0.3">
      <c r="A5" s="2" t="s">
        <v>12</v>
      </c>
      <c r="B5" s="2" t="s">
        <v>511</v>
      </c>
      <c r="C5" s="2" t="str">
        <f>_xlfn.XLOOKUP(Table24[[#This Row],[ProductName]],Table4[Product name],Table4[Category],"Not Found",0)</f>
        <v>Electronics</v>
      </c>
      <c r="D5" s="2">
        <v>35</v>
      </c>
      <c r="E5" s="2">
        <v>56</v>
      </c>
      <c r="F5" s="2" t="str" cm="1">
        <f t="array" ref="F5">_xlfn.IFS(Table24[[#This Row],[QuantityInStock]]&lt;=Table24[[#This Row],[ReorderPoint]],"Low Stock",Table24[[#This Row],[QuantityInStock]]&gt;Table24[[#This Row],[ReorderPoint]],"Adequate Stock",Table24[[#This Row],[QuantityInStock]]=0,"Out Of Stock")</f>
        <v>Low Stock</v>
      </c>
      <c r="G5" s="2" t="s">
        <v>516</v>
      </c>
      <c r="H5" s="2" t="s">
        <v>520</v>
      </c>
      <c r="I5" s="2">
        <v>21</v>
      </c>
      <c r="J5" s="2" t="s">
        <v>526</v>
      </c>
      <c r="K5" s="2">
        <v>159.55000000000001</v>
      </c>
      <c r="L5" s="2">
        <f>Table24[[#This Row],[QuantityInStock]]*Table24[[#This Row],[UnitCost]]</f>
        <v>5584.25</v>
      </c>
    </row>
    <row r="6" spans="1:18" x14ac:dyDescent="0.3">
      <c r="A6" s="2" t="s">
        <v>13</v>
      </c>
      <c r="B6" s="2" t="s">
        <v>512</v>
      </c>
      <c r="C6" s="2" t="str">
        <f>_xlfn.XLOOKUP(Table24[[#This Row],[ProductName]],Table4[Product name],Table4[Category],"Not Found",0)</f>
        <v>Furniture</v>
      </c>
      <c r="D6" s="2">
        <v>442</v>
      </c>
      <c r="E6" s="2">
        <v>64</v>
      </c>
      <c r="F6" s="2" t="str" cm="1">
        <f t="array" ref="F6">_xlfn.IFS(Table24[[#This Row],[QuantityInStock]]&lt;=Table24[[#This Row],[ReorderPoint]],"Low Stock",Table24[[#This Row],[QuantityInStock]]&gt;Table24[[#This Row],[ReorderPoint]],"Adequate Stock",Table24[[#This Row],[QuantityInStock]]=0,"Out Of Stock")</f>
        <v>Adequate Stock</v>
      </c>
      <c r="G6" s="2" t="s">
        <v>518</v>
      </c>
      <c r="H6" s="2" t="s">
        <v>522</v>
      </c>
      <c r="I6" s="2">
        <v>8</v>
      </c>
      <c r="J6" s="2" t="s">
        <v>525</v>
      </c>
      <c r="K6" s="2">
        <v>2.02</v>
      </c>
      <c r="L6" s="2">
        <f>Table24[[#This Row],[QuantityInStock]]*Table24[[#This Row],[UnitCost]]</f>
        <v>892.84</v>
      </c>
      <c r="Q6" t="s">
        <v>536</v>
      </c>
      <c r="R6" t="s">
        <v>537</v>
      </c>
    </row>
    <row r="7" spans="1:18" x14ac:dyDescent="0.3">
      <c r="A7" s="2" t="s">
        <v>14</v>
      </c>
      <c r="B7" s="2" t="s">
        <v>510</v>
      </c>
      <c r="C7" s="2" t="str">
        <f>_xlfn.XLOOKUP(Table24[[#This Row],[ProductName]],Table4[Product name],Table4[Category],"Not Found",0)</f>
        <v>Electronics</v>
      </c>
      <c r="D7" s="2">
        <v>99</v>
      </c>
      <c r="E7" s="2">
        <v>79</v>
      </c>
      <c r="F7" s="2" t="str" cm="1">
        <f t="array" ref="F7">_xlfn.IFS(Table24[[#This Row],[QuantityInStock]]&lt;=Table24[[#This Row],[ReorderPoint]],"Low Stock",Table24[[#This Row],[QuantityInStock]]&gt;Table24[[#This Row],[ReorderPoint]],"Adequate Stock",Table24[[#This Row],[QuantityInStock]]=0,"Out Of Stock")</f>
        <v>Adequate Stock</v>
      </c>
      <c r="G7" s="2" t="s">
        <v>517</v>
      </c>
      <c r="H7" s="2" t="s">
        <v>521</v>
      </c>
      <c r="I7" s="2">
        <v>6</v>
      </c>
      <c r="J7" s="2" t="s">
        <v>524</v>
      </c>
      <c r="K7" s="2">
        <v>116.17</v>
      </c>
      <c r="L7" s="2">
        <f>Table24[[#This Row],[QuantityInStock]]*Table24[[#This Row],[UnitCost]]</f>
        <v>11500.83</v>
      </c>
      <c r="Q7" t="s">
        <v>510</v>
      </c>
      <c r="R7" t="s">
        <v>538</v>
      </c>
    </row>
    <row r="8" spans="1:18" x14ac:dyDescent="0.3">
      <c r="A8" s="2" t="s">
        <v>15</v>
      </c>
      <c r="B8" s="2" t="s">
        <v>510</v>
      </c>
      <c r="C8" s="2" t="str">
        <f>_xlfn.XLOOKUP(Table24[[#This Row],[ProductName]],Table4[Product name],Table4[Category],"Not Found",0)</f>
        <v>Electronics</v>
      </c>
      <c r="D8" s="2">
        <v>286</v>
      </c>
      <c r="E8" s="2">
        <v>33</v>
      </c>
      <c r="F8" s="2" t="str" cm="1">
        <f t="array" ref="F8">_xlfn.IFS(Table24[[#This Row],[QuantityInStock]]&lt;=Table24[[#This Row],[ReorderPoint]],"Low Stock",Table24[[#This Row],[QuantityInStock]]&gt;Table24[[#This Row],[ReorderPoint]],"Adequate Stock",Table24[[#This Row],[QuantityInStock]]=0,"Out Of Stock")</f>
        <v>Adequate Stock</v>
      </c>
      <c r="G8" s="2" t="s">
        <v>519</v>
      </c>
      <c r="H8" s="2" t="s">
        <v>523</v>
      </c>
      <c r="I8" s="2">
        <v>17</v>
      </c>
      <c r="J8" s="2" t="s">
        <v>527</v>
      </c>
      <c r="K8" s="2">
        <v>157.27000000000001</v>
      </c>
      <c r="L8" s="2">
        <f>Table24[[#This Row],[QuantityInStock]]*Table24[[#This Row],[UnitCost]]</f>
        <v>44979.22</v>
      </c>
      <c r="Q8" t="s">
        <v>509</v>
      </c>
      <c r="R8" t="s">
        <v>538</v>
      </c>
    </row>
    <row r="9" spans="1:18" x14ac:dyDescent="0.3">
      <c r="A9" s="2" t="s">
        <v>16</v>
      </c>
      <c r="B9" s="2" t="s">
        <v>509</v>
      </c>
      <c r="C9" s="2" t="str">
        <f>_xlfn.XLOOKUP(Table24[[#This Row],[ProductName]],Table4[Product name],Table4[Category],"Not Found",0)</f>
        <v>Electronics</v>
      </c>
      <c r="D9" s="2">
        <v>228</v>
      </c>
      <c r="E9" s="2">
        <v>45</v>
      </c>
      <c r="F9" s="2" t="str" cm="1">
        <f t="array" ref="F9">_xlfn.IFS(Table24[[#This Row],[QuantityInStock]]&lt;=Table24[[#This Row],[ReorderPoint]],"Low Stock",Table24[[#This Row],[QuantityInStock]]&gt;Table24[[#This Row],[ReorderPoint]],"Adequate Stock",Table24[[#This Row],[QuantityInStock]]=0,"Out Of Stock")</f>
        <v>Adequate Stock</v>
      </c>
      <c r="G9" s="2" t="s">
        <v>516</v>
      </c>
      <c r="H9" s="2" t="s">
        <v>520</v>
      </c>
      <c r="I9" s="2">
        <v>18</v>
      </c>
      <c r="J9" s="2" t="s">
        <v>524</v>
      </c>
      <c r="K9" s="2">
        <v>3.93</v>
      </c>
      <c r="L9" s="2">
        <f>Table24[[#This Row],[QuantityInStock]]*Table24[[#This Row],[UnitCost]]</f>
        <v>896.04000000000008</v>
      </c>
      <c r="Q9" t="s">
        <v>515</v>
      </c>
      <c r="R9" t="s">
        <v>538</v>
      </c>
    </row>
    <row r="10" spans="1:18" x14ac:dyDescent="0.3">
      <c r="A10" s="2" t="s">
        <v>17</v>
      </c>
      <c r="B10" s="2" t="s">
        <v>511</v>
      </c>
      <c r="C10" s="2" t="str">
        <f>_xlfn.XLOOKUP(Table24[[#This Row],[ProductName]],Table4[Product name],Table4[Category],"Not Found",0)</f>
        <v>Electronics</v>
      </c>
      <c r="D10" s="2">
        <v>54</v>
      </c>
      <c r="E10" s="2">
        <v>99</v>
      </c>
      <c r="F10" s="2" t="str" cm="1">
        <f t="array" ref="F10">_xlfn.IFS(Table24[[#This Row],[QuantityInStock]]&lt;=Table24[[#This Row],[ReorderPoint]],"Low Stock",Table24[[#This Row],[QuantityInStock]]&gt;Table24[[#This Row],[ReorderPoint]],"Adequate Stock",Table24[[#This Row],[QuantityInStock]]=0,"Out Of Stock")</f>
        <v>Low Stock</v>
      </c>
      <c r="G10" s="2" t="s">
        <v>519</v>
      </c>
      <c r="H10" s="2" t="s">
        <v>523</v>
      </c>
      <c r="I10" s="2">
        <v>11</v>
      </c>
      <c r="J10" s="2" t="s">
        <v>527</v>
      </c>
      <c r="K10" s="2">
        <v>102.09</v>
      </c>
      <c r="L10" s="2">
        <f>Table24[[#This Row],[QuantityInStock]]*Table24[[#This Row],[UnitCost]]</f>
        <v>5512.8600000000006</v>
      </c>
      <c r="Q10" t="s">
        <v>511</v>
      </c>
      <c r="R10" t="s">
        <v>538</v>
      </c>
    </row>
    <row r="11" spans="1:18" x14ac:dyDescent="0.3">
      <c r="A11" s="2" t="s">
        <v>18</v>
      </c>
      <c r="B11" s="2" t="s">
        <v>513</v>
      </c>
      <c r="C11" s="2" t="str">
        <f>_xlfn.XLOOKUP(Table24[[#This Row],[ProductName]],Table4[Product name],Table4[Category],"Not Found",0)</f>
        <v>Electronics</v>
      </c>
      <c r="D11" s="2">
        <v>396</v>
      </c>
      <c r="E11" s="2">
        <v>84</v>
      </c>
      <c r="F11" s="2" t="str" cm="1">
        <f t="array" ref="F11">_xlfn.IFS(Table24[[#This Row],[QuantityInStock]]&lt;=Table24[[#This Row],[ReorderPoint]],"Low Stock",Table24[[#This Row],[QuantityInStock]]&gt;Table24[[#This Row],[ReorderPoint]],"Adequate Stock",Table24[[#This Row],[QuantityInStock]]=0,"Out Of Stock")</f>
        <v>Adequate Stock</v>
      </c>
      <c r="G11" s="2" t="s">
        <v>519</v>
      </c>
      <c r="H11" s="2" t="s">
        <v>523</v>
      </c>
      <c r="I11" s="2">
        <v>17</v>
      </c>
      <c r="J11" s="2" t="s">
        <v>525</v>
      </c>
      <c r="K11" s="2">
        <v>147.57</v>
      </c>
      <c r="L11" s="2">
        <f>Table24[[#This Row],[QuantityInStock]]*Table24[[#This Row],[UnitCost]]</f>
        <v>58437.719999999994</v>
      </c>
      <c r="Q11" t="s">
        <v>513</v>
      </c>
      <c r="R11" t="s">
        <v>538</v>
      </c>
    </row>
    <row r="12" spans="1:18" x14ac:dyDescent="0.3">
      <c r="A12" s="2" t="s">
        <v>19</v>
      </c>
      <c r="B12" s="2" t="s">
        <v>514</v>
      </c>
      <c r="C12" s="2" t="str">
        <f>_xlfn.XLOOKUP(Table24[[#This Row],[ProductName]],Table4[Product name],Table4[Category],"Not Found",0)</f>
        <v>Furniture</v>
      </c>
      <c r="D12" s="2">
        <v>163</v>
      </c>
      <c r="E12" s="2">
        <v>44</v>
      </c>
      <c r="F12" s="2" t="str" cm="1">
        <f t="array" ref="F12">_xlfn.IFS(Table24[[#This Row],[QuantityInStock]]&lt;=Table24[[#This Row],[ReorderPoint]],"Low Stock",Table24[[#This Row],[QuantityInStock]]&gt;Table24[[#This Row],[ReorderPoint]],"Adequate Stock",Table24[[#This Row],[QuantityInStock]]=0,"Out Of Stock")</f>
        <v>Adequate Stock</v>
      </c>
      <c r="G12" s="2" t="s">
        <v>516</v>
      </c>
      <c r="H12" s="2" t="s">
        <v>520</v>
      </c>
      <c r="I12" s="2">
        <v>17</v>
      </c>
      <c r="J12" s="2" t="s">
        <v>524</v>
      </c>
      <c r="K12" s="2">
        <v>155.35</v>
      </c>
      <c r="L12" s="2">
        <f>Table24[[#This Row],[QuantityInStock]]*Table24[[#This Row],[UnitCost]]</f>
        <v>25322.05</v>
      </c>
      <c r="Q12" t="s">
        <v>512</v>
      </c>
      <c r="R12" t="s">
        <v>539</v>
      </c>
    </row>
    <row r="13" spans="1:18" x14ac:dyDescent="0.3">
      <c r="A13" s="2" t="s">
        <v>20</v>
      </c>
      <c r="B13" s="2" t="s">
        <v>513</v>
      </c>
      <c r="C13" s="2" t="str">
        <f>_xlfn.XLOOKUP(Table24[[#This Row],[ProductName]],Table4[Product name],Table4[Category],"Not Found",0)</f>
        <v>Electronics</v>
      </c>
      <c r="D13" s="2">
        <v>445</v>
      </c>
      <c r="E13" s="2">
        <v>80</v>
      </c>
      <c r="F13" s="2" t="str" cm="1">
        <f t="array" ref="F13">_xlfn.IFS(Table24[[#This Row],[QuantityInStock]]&lt;=Table24[[#This Row],[ReorderPoint]],"Low Stock",Table24[[#This Row],[QuantityInStock]]&gt;Table24[[#This Row],[ReorderPoint]],"Adequate Stock",Table24[[#This Row],[QuantityInStock]]=0,"Out Of Stock")</f>
        <v>Adequate Stock</v>
      </c>
      <c r="G13" s="2" t="s">
        <v>517</v>
      </c>
      <c r="H13" s="2" t="s">
        <v>521</v>
      </c>
      <c r="I13" s="2">
        <v>20</v>
      </c>
      <c r="J13" s="2" t="s">
        <v>528</v>
      </c>
      <c r="K13" s="2">
        <v>4.07</v>
      </c>
      <c r="L13" s="2">
        <f>Table24[[#This Row],[QuantityInStock]]*Table24[[#This Row],[UnitCost]]</f>
        <v>1811.15</v>
      </c>
      <c r="Q13" t="s">
        <v>514</v>
      </c>
      <c r="R13" t="s">
        <v>539</v>
      </c>
    </row>
    <row r="14" spans="1:18" x14ac:dyDescent="0.3">
      <c r="A14" s="2" t="s">
        <v>21</v>
      </c>
      <c r="B14" s="2" t="s">
        <v>512</v>
      </c>
      <c r="C14" s="2" t="str">
        <f>_xlfn.XLOOKUP(Table24[[#This Row],[ProductName]],Table4[Product name],Table4[Category],"Not Found",0)</f>
        <v>Furniture</v>
      </c>
      <c r="D14" s="2">
        <v>437</v>
      </c>
      <c r="E14" s="2">
        <v>83</v>
      </c>
      <c r="F14" s="2" t="str" cm="1">
        <f t="array" ref="F14">_xlfn.IFS(Table24[[#This Row],[QuantityInStock]]&lt;=Table24[[#This Row],[ReorderPoint]],"Low Stock",Table24[[#This Row],[QuantityInStock]]&gt;Table24[[#This Row],[ReorderPoint]],"Adequate Stock",Table24[[#This Row],[QuantityInStock]]=0,"Out Of Stock")</f>
        <v>Adequate Stock</v>
      </c>
      <c r="G14" s="2" t="s">
        <v>519</v>
      </c>
      <c r="H14" s="2" t="s">
        <v>523</v>
      </c>
      <c r="I14" s="2">
        <v>11</v>
      </c>
      <c r="J14" s="2" t="s">
        <v>526</v>
      </c>
      <c r="K14" s="2">
        <v>128.82</v>
      </c>
      <c r="L14" s="2">
        <f>Table24[[#This Row],[QuantityInStock]]*Table24[[#This Row],[UnitCost]]</f>
        <v>56294.34</v>
      </c>
    </row>
    <row r="15" spans="1:18" x14ac:dyDescent="0.3">
      <c r="A15" s="2" t="s">
        <v>22</v>
      </c>
      <c r="B15" s="2" t="s">
        <v>512</v>
      </c>
      <c r="C15" s="2" t="str">
        <f>_xlfn.XLOOKUP(Table24[[#This Row],[ProductName]],Table4[Product name],Table4[Category],"Not Found",0)</f>
        <v>Furniture</v>
      </c>
      <c r="D15" s="2">
        <v>301</v>
      </c>
      <c r="E15" s="2">
        <v>27</v>
      </c>
      <c r="F15" s="2" t="str" cm="1">
        <f t="array" ref="F15">_xlfn.IFS(Table24[[#This Row],[QuantityInStock]]&lt;=Table24[[#This Row],[ReorderPoint]],"Low Stock",Table24[[#This Row],[QuantityInStock]]&gt;Table24[[#This Row],[ReorderPoint]],"Adequate Stock",Table24[[#This Row],[QuantityInStock]]=0,"Out Of Stock")</f>
        <v>Adequate Stock</v>
      </c>
      <c r="G15" s="2" t="s">
        <v>516</v>
      </c>
      <c r="H15" s="2" t="s">
        <v>520</v>
      </c>
      <c r="I15" s="2">
        <v>10</v>
      </c>
      <c r="J15" s="2" t="s">
        <v>525</v>
      </c>
      <c r="K15" s="2">
        <v>66.48</v>
      </c>
      <c r="L15" s="2">
        <f>Table24[[#This Row],[QuantityInStock]]*Table24[[#This Row],[UnitCost]]</f>
        <v>20010.48</v>
      </c>
    </row>
    <row r="16" spans="1:18" x14ac:dyDescent="0.3">
      <c r="A16" s="2" t="s">
        <v>23</v>
      </c>
      <c r="B16" s="2" t="s">
        <v>511</v>
      </c>
      <c r="C16" s="2" t="str">
        <f>_xlfn.XLOOKUP(Table24[[#This Row],[ProductName]],Table4[Product name],Table4[Category],"Not Found",0)</f>
        <v>Electronics</v>
      </c>
      <c r="D16" s="2">
        <v>16</v>
      </c>
      <c r="E16" s="2">
        <v>70</v>
      </c>
      <c r="F16" s="2" t="str" cm="1">
        <f t="array" ref="F16">_xlfn.IFS(Table24[[#This Row],[QuantityInStock]]&lt;=Table24[[#This Row],[ReorderPoint]],"Low Stock",Table24[[#This Row],[QuantityInStock]]&gt;Table24[[#This Row],[ReorderPoint]],"Adequate Stock",Table24[[#This Row],[QuantityInStock]]=0,"Out Of Stock")</f>
        <v>Low Stock</v>
      </c>
      <c r="G16" s="2" t="s">
        <v>518</v>
      </c>
      <c r="H16" s="2" t="s">
        <v>522</v>
      </c>
      <c r="I16" s="2">
        <v>3</v>
      </c>
      <c r="J16" s="2" t="s">
        <v>528</v>
      </c>
      <c r="K16" s="2">
        <v>182.34</v>
      </c>
      <c r="L16" s="2">
        <f>Table24[[#This Row],[QuantityInStock]]*Table24[[#This Row],[UnitCost]]</f>
        <v>2917.44</v>
      </c>
    </row>
    <row r="17" spans="1:12" x14ac:dyDescent="0.3">
      <c r="A17" s="2" t="s">
        <v>24</v>
      </c>
      <c r="B17" s="2" t="s">
        <v>513</v>
      </c>
      <c r="C17" s="2" t="str">
        <f>_xlfn.XLOOKUP(Table24[[#This Row],[ProductName]],Table4[Product name],Table4[Category],"Not Found",0)</f>
        <v>Electronics</v>
      </c>
      <c r="D17" s="2">
        <v>176</v>
      </c>
      <c r="E17" s="2">
        <v>53</v>
      </c>
      <c r="F17" s="2" t="str" cm="1">
        <f t="array" ref="F17">_xlfn.IFS(Table24[[#This Row],[QuantityInStock]]&lt;=Table24[[#This Row],[ReorderPoint]],"Low Stock",Table24[[#This Row],[QuantityInStock]]&gt;Table24[[#This Row],[ReorderPoint]],"Adequate Stock",Table24[[#This Row],[QuantityInStock]]=0,"Out Of Stock")</f>
        <v>Adequate Stock</v>
      </c>
      <c r="G17" s="2" t="s">
        <v>517</v>
      </c>
      <c r="H17" s="2" t="s">
        <v>521</v>
      </c>
      <c r="I17" s="2">
        <v>15</v>
      </c>
      <c r="J17" s="2" t="s">
        <v>526</v>
      </c>
      <c r="K17" s="2">
        <v>68.77</v>
      </c>
      <c r="L17" s="2">
        <f>Table24[[#This Row],[QuantityInStock]]*Table24[[#This Row],[UnitCost]]</f>
        <v>12103.519999999999</v>
      </c>
    </row>
    <row r="18" spans="1:12" x14ac:dyDescent="0.3">
      <c r="A18" s="2" t="s">
        <v>25</v>
      </c>
      <c r="B18" s="2" t="s">
        <v>511</v>
      </c>
      <c r="C18" s="2" t="str">
        <f>_xlfn.XLOOKUP(Table24[[#This Row],[ProductName]],Table4[Product name],Table4[Category],"Not Found",0)</f>
        <v>Electronics</v>
      </c>
      <c r="D18" s="2">
        <v>186</v>
      </c>
      <c r="E18" s="2">
        <v>76</v>
      </c>
      <c r="F18" s="2" t="str" cm="1">
        <f t="array" ref="F18">_xlfn.IFS(Table24[[#This Row],[QuantityInStock]]&lt;=Table24[[#This Row],[ReorderPoint]],"Low Stock",Table24[[#This Row],[QuantityInStock]]&gt;Table24[[#This Row],[ReorderPoint]],"Adequate Stock",Table24[[#This Row],[QuantityInStock]]=0,"Out Of Stock")</f>
        <v>Adequate Stock</v>
      </c>
      <c r="G18" s="2" t="s">
        <v>519</v>
      </c>
      <c r="H18" s="2" t="s">
        <v>523</v>
      </c>
      <c r="I18" s="2">
        <v>9</v>
      </c>
      <c r="J18" s="2" t="s">
        <v>525</v>
      </c>
      <c r="K18" s="2">
        <v>47.17</v>
      </c>
      <c r="L18" s="2">
        <f>Table24[[#This Row],[QuantityInStock]]*Table24[[#This Row],[UnitCost]]</f>
        <v>8773.6200000000008</v>
      </c>
    </row>
    <row r="19" spans="1:12" x14ac:dyDescent="0.3">
      <c r="A19" s="2" t="s">
        <v>26</v>
      </c>
      <c r="B19" s="2" t="s">
        <v>513</v>
      </c>
      <c r="C19" s="2" t="str">
        <f>_xlfn.XLOOKUP(Table24[[#This Row],[ProductName]],Table4[Product name],Table4[Category],"Not Found",0)</f>
        <v>Electronics</v>
      </c>
      <c r="D19" s="2">
        <v>229</v>
      </c>
      <c r="E19" s="2">
        <v>72</v>
      </c>
      <c r="F19" s="2" t="str" cm="1">
        <f t="array" ref="F19">_xlfn.IFS(Table24[[#This Row],[QuantityInStock]]&lt;=Table24[[#This Row],[ReorderPoint]],"Low Stock",Table24[[#This Row],[QuantityInStock]]&gt;Table24[[#This Row],[ReorderPoint]],"Adequate Stock",Table24[[#This Row],[QuantityInStock]]=0,"Out Of Stock")</f>
        <v>Adequate Stock</v>
      </c>
      <c r="G19" s="2" t="s">
        <v>519</v>
      </c>
      <c r="H19" s="2" t="s">
        <v>523</v>
      </c>
      <c r="I19" s="2">
        <v>15</v>
      </c>
      <c r="J19" s="2" t="s">
        <v>527</v>
      </c>
      <c r="K19" s="2">
        <v>96.59</v>
      </c>
      <c r="L19" s="2">
        <f>Table24[[#This Row],[QuantityInStock]]*Table24[[#This Row],[UnitCost]]</f>
        <v>22119.11</v>
      </c>
    </row>
    <row r="20" spans="1:12" x14ac:dyDescent="0.3">
      <c r="A20" s="2" t="s">
        <v>27</v>
      </c>
      <c r="B20" s="2" t="s">
        <v>515</v>
      </c>
      <c r="C20" s="2" t="str">
        <f>_xlfn.XLOOKUP(Table24[[#This Row],[ProductName]],Table4[Product name],Table4[Category],"Not Found",0)</f>
        <v>Electronics</v>
      </c>
      <c r="D20" s="2">
        <v>444</v>
      </c>
      <c r="E20" s="2">
        <v>33</v>
      </c>
      <c r="F20" s="2" t="str" cm="1">
        <f t="array" ref="F20">_xlfn.IFS(Table24[[#This Row],[QuantityInStock]]&lt;=Table24[[#This Row],[ReorderPoint]],"Low Stock",Table24[[#This Row],[QuantityInStock]]&gt;Table24[[#This Row],[ReorderPoint]],"Adequate Stock",Table24[[#This Row],[QuantityInStock]]=0,"Out Of Stock")</f>
        <v>Adequate Stock</v>
      </c>
      <c r="G20" s="2" t="s">
        <v>518</v>
      </c>
      <c r="H20" s="2" t="s">
        <v>522</v>
      </c>
      <c r="I20" s="2">
        <v>4</v>
      </c>
      <c r="J20" s="2" t="s">
        <v>525</v>
      </c>
      <c r="K20" s="2">
        <v>5.48</v>
      </c>
      <c r="L20" s="2">
        <f>Table24[[#This Row],[QuantityInStock]]*Table24[[#This Row],[UnitCost]]</f>
        <v>2433.1200000000003</v>
      </c>
    </row>
    <row r="21" spans="1:12" x14ac:dyDescent="0.3">
      <c r="A21" s="2" t="s">
        <v>28</v>
      </c>
      <c r="B21" s="2" t="s">
        <v>514</v>
      </c>
      <c r="C21" s="2" t="str">
        <f>_xlfn.XLOOKUP(Table24[[#This Row],[ProductName]],Table4[Product name],Table4[Category],"Not Found",0)</f>
        <v>Furniture</v>
      </c>
      <c r="D21" s="2">
        <v>405</v>
      </c>
      <c r="E21" s="2">
        <v>34</v>
      </c>
      <c r="F21" s="2" t="str" cm="1">
        <f t="array" ref="F21">_xlfn.IFS(Table24[[#This Row],[QuantityInStock]]&lt;=Table24[[#This Row],[ReorderPoint]],"Low Stock",Table24[[#This Row],[QuantityInStock]]&gt;Table24[[#This Row],[ReorderPoint]],"Adequate Stock",Table24[[#This Row],[QuantityInStock]]=0,"Out Of Stock")</f>
        <v>Adequate Stock</v>
      </c>
      <c r="G21" s="2" t="s">
        <v>519</v>
      </c>
      <c r="H21" s="2" t="s">
        <v>523</v>
      </c>
      <c r="I21" s="2">
        <v>17</v>
      </c>
      <c r="J21" s="2" t="s">
        <v>527</v>
      </c>
      <c r="K21" s="2">
        <v>92.46</v>
      </c>
      <c r="L21" s="2">
        <f>Table24[[#This Row],[QuantityInStock]]*Table24[[#This Row],[UnitCost]]</f>
        <v>37446.299999999996</v>
      </c>
    </row>
    <row r="22" spans="1:12" x14ac:dyDescent="0.3">
      <c r="A22" s="2" t="s">
        <v>29</v>
      </c>
      <c r="B22" s="2" t="s">
        <v>514</v>
      </c>
      <c r="C22" s="2" t="str">
        <f>_xlfn.XLOOKUP(Table24[[#This Row],[ProductName]],Table4[Product name],Table4[Category],"Not Found",0)</f>
        <v>Furniture</v>
      </c>
      <c r="D22" s="2">
        <v>132</v>
      </c>
      <c r="E22" s="2">
        <v>33</v>
      </c>
      <c r="F22" s="2" t="str" cm="1">
        <f t="array" ref="F22">_xlfn.IFS(Table24[[#This Row],[QuantityInStock]]&lt;=Table24[[#This Row],[ReorderPoint]],"Low Stock",Table24[[#This Row],[QuantityInStock]]&gt;Table24[[#This Row],[ReorderPoint]],"Adequate Stock",Table24[[#This Row],[QuantityInStock]]=0,"Out Of Stock")</f>
        <v>Adequate Stock</v>
      </c>
      <c r="G22" s="2" t="s">
        <v>516</v>
      </c>
      <c r="H22" s="2" t="s">
        <v>520</v>
      </c>
      <c r="I22" s="2">
        <v>10</v>
      </c>
      <c r="J22" s="2" t="s">
        <v>528</v>
      </c>
      <c r="K22" s="2">
        <v>60.53</v>
      </c>
      <c r="L22" s="2">
        <f>Table24[[#This Row],[QuantityInStock]]*Table24[[#This Row],[UnitCost]]</f>
        <v>7989.96</v>
      </c>
    </row>
    <row r="23" spans="1:12" x14ac:dyDescent="0.3">
      <c r="A23" s="2" t="s">
        <v>30</v>
      </c>
      <c r="B23" s="2" t="s">
        <v>514</v>
      </c>
      <c r="C23" s="2" t="str">
        <f>_xlfn.XLOOKUP(Table24[[#This Row],[ProductName]],Table4[Product name],Table4[Category],"Not Found",0)</f>
        <v>Furniture</v>
      </c>
      <c r="D23" s="2">
        <v>485</v>
      </c>
      <c r="E23" s="2">
        <v>64</v>
      </c>
      <c r="F23" s="2" t="str" cm="1">
        <f t="array" ref="F23">_xlfn.IFS(Table24[[#This Row],[QuantityInStock]]&lt;=Table24[[#This Row],[ReorderPoint]],"Low Stock",Table24[[#This Row],[QuantityInStock]]&gt;Table24[[#This Row],[ReorderPoint]],"Adequate Stock",Table24[[#This Row],[QuantityInStock]]=0,"Out Of Stock")</f>
        <v>Adequate Stock</v>
      </c>
      <c r="G23" s="2" t="s">
        <v>518</v>
      </c>
      <c r="H23" s="2" t="s">
        <v>522</v>
      </c>
      <c r="I23" s="2">
        <v>6</v>
      </c>
      <c r="J23" s="2" t="s">
        <v>528</v>
      </c>
      <c r="K23" s="2">
        <v>194.42</v>
      </c>
      <c r="L23" s="2">
        <f>Table24[[#This Row],[QuantityInStock]]*Table24[[#This Row],[UnitCost]]</f>
        <v>94293.7</v>
      </c>
    </row>
    <row r="24" spans="1:12" x14ac:dyDescent="0.3">
      <c r="A24" s="2" t="s">
        <v>31</v>
      </c>
      <c r="B24" s="2" t="s">
        <v>514</v>
      </c>
      <c r="C24" s="2" t="str">
        <f>_xlfn.XLOOKUP(Table24[[#This Row],[ProductName]],Table4[Product name],Table4[Category],"Not Found",0)</f>
        <v>Furniture</v>
      </c>
      <c r="D24" s="2">
        <v>68</v>
      </c>
      <c r="E24" s="2">
        <v>39</v>
      </c>
      <c r="F24" s="2" t="str" cm="1">
        <f t="array" ref="F24">_xlfn.IFS(Table24[[#This Row],[QuantityInStock]]&lt;=Table24[[#This Row],[ReorderPoint]],"Low Stock",Table24[[#This Row],[QuantityInStock]]&gt;Table24[[#This Row],[ReorderPoint]],"Adequate Stock",Table24[[#This Row],[QuantityInStock]]=0,"Out Of Stock")</f>
        <v>Adequate Stock</v>
      </c>
      <c r="G24" s="2" t="s">
        <v>519</v>
      </c>
      <c r="H24" s="2" t="s">
        <v>523</v>
      </c>
      <c r="I24" s="2">
        <v>13</v>
      </c>
      <c r="J24" s="2" t="s">
        <v>527</v>
      </c>
      <c r="K24" s="2">
        <v>176.51</v>
      </c>
      <c r="L24" s="2">
        <f>Table24[[#This Row],[QuantityInStock]]*Table24[[#This Row],[UnitCost]]</f>
        <v>12002.68</v>
      </c>
    </row>
    <row r="25" spans="1:12" x14ac:dyDescent="0.3">
      <c r="A25" s="2" t="s">
        <v>32</v>
      </c>
      <c r="B25" s="2" t="s">
        <v>511</v>
      </c>
      <c r="C25" s="2" t="str">
        <f>_xlfn.XLOOKUP(Table24[[#This Row],[ProductName]],Table4[Product name],Table4[Category],"Not Found",0)</f>
        <v>Electronics</v>
      </c>
      <c r="D25" s="2">
        <v>304</v>
      </c>
      <c r="E25" s="2">
        <v>30</v>
      </c>
      <c r="F25" s="2" t="str" cm="1">
        <f t="array" ref="F25">_xlfn.IFS(Table24[[#This Row],[QuantityInStock]]&lt;=Table24[[#This Row],[ReorderPoint]],"Low Stock",Table24[[#This Row],[QuantityInStock]]&gt;Table24[[#This Row],[ReorderPoint]],"Adequate Stock",Table24[[#This Row],[QuantityInStock]]=0,"Out Of Stock")</f>
        <v>Adequate Stock</v>
      </c>
      <c r="G25" s="2" t="s">
        <v>517</v>
      </c>
      <c r="H25" s="2" t="s">
        <v>521</v>
      </c>
      <c r="I25" s="2">
        <v>15</v>
      </c>
      <c r="J25" s="2" t="s">
        <v>524</v>
      </c>
      <c r="K25" s="2">
        <v>74.44</v>
      </c>
      <c r="L25" s="2">
        <f>Table24[[#This Row],[QuantityInStock]]*Table24[[#This Row],[UnitCost]]</f>
        <v>22629.759999999998</v>
      </c>
    </row>
    <row r="26" spans="1:12" x14ac:dyDescent="0.3">
      <c r="A26" s="2" t="s">
        <v>33</v>
      </c>
      <c r="B26" s="2" t="s">
        <v>515</v>
      </c>
      <c r="C26" s="2" t="str">
        <f>_xlfn.XLOOKUP(Table24[[#This Row],[ProductName]],Table4[Product name],Table4[Category],"Not Found",0)</f>
        <v>Electronics</v>
      </c>
      <c r="D26" s="2">
        <v>171</v>
      </c>
      <c r="E26" s="2">
        <v>60</v>
      </c>
      <c r="F26" s="2" t="str" cm="1">
        <f t="array" ref="F26">_xlfn.IFS(Table24[[#This Row],[QuantityInStock]]&lt;=Table24[[#This Row],[ReorderPoint]],"Low Stock",Table24[[#This Row],[QuantityInStock]]&gt;Table24[[#This Row],[ReorderPoint]],"Adequate Stock",Table24[[#This Row],[QuantityInStock]]=0,"Out Of Stock")</f>
        <v>Adequate Stock</v>
      </c>
      <c r="G26" s="2" t="s">
        <v>518</v>
      </c>
      <c r="H26" s="2" t="s">
        <v>522</v>
      </c>
      <c r="I26" s="2">
        <v>4</v>
      </c>
      <c r="J26" s="2" t="s">
        <v>525</v>
      </c>
      <c r="K26" s="2">
        <v>112.65</v>
      </c>
      <c r="L26" s="2">
        <f>Table24[[#This Row],[QuantityInStock]]*Table24[[#This Row],[UnitCost]]</f>
        <v>19263.150000000001</v>
      </c>
    </row>
    <row r="27" spans="1:12" x14ac:dyDescent="0.3">
      <c r="A27" s="2" t="s">
        <v>34</v>
      </c>
      <c r="B27" s="2" t="s">
        <v>509</v>
      </c>
      <c r="C27" s="2" t="str">
        <f>_xlfn.XLOOKUP(Table24[[#This Row],[ProductName]],Table4[Product name],Table4[Category],"Not Found",0)</f>
        <v>Electronics</v>
      </c>
      <c r="D27" s="2">
        <v>1</v>
      </c>
      <c r="E27" s="2">
        <v>55</v>
      </c>
      <c r="F27" s="2" t="str" cm="1">
        <f t="array" ref="F27">_xlfn.IFS(Table24[[#This Row],[QuantityInStock]]&lt;=Table24[[#This Row],[ReorderPoint]],"Low Stock",Table24[[#This Row],[QuantityInStock]]&gt;Table24[[#This Row],[ReorderPoint]],"Adequate Stock",Table24[[#This Row],[QuantityInStock]]=0,"Out Of Stock")</f>
        <v>Low Stock</v>
      </c>
      <c r="G27" s="2" t="s">
        <v>519</v>
      </c>
      <c r="H27" s="2" t="s">
        <v>523</v>
      </c>
      <c r="I27" s="2">
        <v>12</v>
      </c>
      <c r="J27" s="2" t="s">
        <v>527</v>
      </c>
      <c r="K27" s="2">
        <v>18.690000000000001</v>
      </c>
      <c r="L27" s="2">
        <f>Table24[[#This Row],[QuantityInStock]]*Table24[[#This Row],[UnitCost]]</f>
        <v>18.690000000000001</v>
      </c>
    </row>
    <row r="28" spans="1:12" x14ac:dyDescent="0.3">
      <c r="A28" s="2" t="s">
        <v>35</v>
      </c>
      <c r="B28" s="2" t="s">
        <v>515</v>
      </c>
      <c r="C28" s="2" t="str">
        <f>_xlfn.XLOOKUP(Table24[[#This Row],[ProductName]],Table4[Product name],Table4[Category],"Not Found",0)</f>
        <v>Electronics</v>
      </c>
      <c r="D28" s="2">
        <v>322</v>
      </c>
      <c r="E28" s="2">
        <v>73</v>
      </c>
      <c r="F28" s="2" t="str" cm="1">
        <f t="array" ref="F28">_xlfn.IFS(Table24[[#This Row],[QuantityInStock]]&lt;=Table24[[#This Row],[ReorderPoint]],"Low Stock",Table24[[#This Row],[QuantityInStock]]&gt;Table24[[#This Row],[ReorderPoint]],"Adequate Stock",Table24[[#This Row],[QuantityInStock]]=0,"Out Of Stock")</f>
        <v>Adequate Stock</v>
      </c>
      <c r="G28" s="2" t="s">
        <v>517</v>
      </c>
      <c r="H28" s="2" t="s">
        <v>521</v>
      </c>
      <c r="I28" s="2">
        <v>9</v>
      </c>
      <c r="J28" s="2" t="s">
        <v>528</v>
      </c>
      <c r="K28" s="2">
        <v>168.96</v>
      </c>
      <c r="L28" s="2">
        <f>Table24[[#This Row],[QuantityInStock]]*Table24[[#This Row],[UnitCost]]</f>
        <v>54405.120000000003</v>
      </c>
    </row>
    <row r="29" spans="1:12" x14ac:dyDescent="0.3">
      <c r="A29" s="2" t="s">
        <v>36</v>
      </c>
      <c r="B29" s="2" t="s">
        <v>515</v>
      </c>
      <c r="C29" s="2" t="str">
        <f>_xlfn.XLOOKUP(Table24[[#This Row],[ProductName]],Table4[Product name],Table4[Category],"Not Found",0)</f>
        <v>Electronics</v>
      </c>
      <c r="D29" s="2">
        <v>291</v>
      </c>
      <c r="E29" s="2">
        <v>53</v>
      </c>
      <c r="F29" s="2" t="str" cm="1">
        <f t="array" ref="F29">_xlfn.IFS(Table24[[#This Row],[QuantityInStock]]&lt;=Table24[[#This Row],[ReorderPoint]],"Low Stock",Table24[[#This Row],[QuantityInStock]]&gt;Table24[[#This Row],[ReorderPoint]],"Adequate Stock",Table24[[#This Row],[QuantityInStock]]=0,"Out Of Stock")</f>
        <v>Adequate Stock</v>
      </c>
      <c r="G29" s="2" t="s">
        <v>517</v>
      </c>
      <c r="H29" s="2" t="s">
        <v>521</v>
      </c>
      <c r="I29" s="2">
        <v>10</v>
      </c>
      <c r="J29" s="2" t="s">
        <v>527</v>
      </c>
      <c r="K29" s="2">
        <v>161.77000000000001</v>
      </c>
      <c r="L29" s="2">
        <f>Table24[[#This Row],[QuantityInStock]]*Table24[[#This Row],[UnitCost]]</f>
        <v>47075.07</v>
      </c>
    </row>
    <row r="30" spans="1:12" x14ac:dyDescent="0.3">
      <c r="A30" s="2" t="s">
        <v>37</v>
      </c>
      <c r="B30" s="2" t="s">
        <v>509</v>
      </c>
      <c r="C30" s="2" t="str">
        <f>_xlfn.XLOOKUP(Table24[[#This Row],[ProductName]],Table4[Product name],Table4[Category],"Not Found",0)</f>
        <v>Electronics</v>
      </c>
      <c r="D30" s="2">
        <v>385</v>
      </c>
      <c r="E30" s="2">
        <v>57</v>
      </c>
      <c r="F30" s="2" t="str" cm="1">
        <f t="array" ref="F30">_xlfn.IFS(Table24[[#This Row],[QuantityInStock]]&lt;=Table24[[#This Row],[ReorderPoint]],"Low Stock",Table24[[#This Row],[QuantityInStock]]&gt;Table24[[#This Row],[ReorderPoint]],"Adequate Stock",Table24[[#This Row],[QuantityInStock]]=0,"Out Of Stock")</f>
        <v>Adequate Stock</v>
      </c>
      <c r="G30" s="2" t="s">
        <v>516</v>
      </c>
      <c r="H30" s="2" t="s">
        <v>520</v>
      </c>
      <c r="I30" s="2">
        <v>10</v>
      </c>
      <c r="J30" s="2" t="s">
        <v>528</v>
      </c>
      <c r="K30" s="2">
        <v>169.39</v>
      </c>
      <c r="L30" s="2">
        <f>Table24[[#This Row],[QuantityInStock]]*Table24[[#This Row],[UnitCost]]</f>
        <v>65215.149999999994</v>
      </c>
    </row>
    <row r="31" spans="1:12" x14ac:dyDescent="0.3">
      <c r="A31" s="2" t="s">
        <v>38</v>
      </c>
      <c r="B31" s="2" t="s">
        <v>511</v>
      </c>
      <c r="C31" s="2" t="str">
        <f>_xlfn.XLOOKUP(Table24[[#This Row],[ProductName]],Table4[Product name],Table4[Category],"Not Found",0)</f>
        <v>Electronics</v>
      </c>
      <c r="D31" s="2">
        <v>285</v>
      </c>
      <c r="E31" s="2">
        <v>48</v>
      </c>
      <c r="F31" s="2" t="str" cm="1">
        <f t="array" ref="F31">_xlfn.IFS(Table24[[#This Row],[QuantityInStock]]&lt;=Table24[[#This Row],[ReorderPoint]],"Low Stock",Table24[[#This Row],[QuantityInStock]]&gt;Table24[[#This Row],[ReorderPoint]],"Adequate Stock",Table24[[#This Row],[QuantityInStock]]=0,"Out Of Stock")</f>
        <v>Adequate Stock</v>
      </c>
      <c r="G31" s="2" t="s">
        <v>518</v>
      </c>
      <c r="H31" s="2" t="s">
        <v>522</v>
      </c>
      <c r="I31" s="2">
        <v>20</v>
      </c>
      <c r="J31" s="2" t="s">
        <v>526</v>
      </c>
      <c r="K31" s="2">
        <v>155.59</v>
      </c>
      <c r="L31" s="2">
        <f>Table24[[#This Row],[QuantityInStock]]*Table24[[#This Row],[UnitCost]]</f>
        <v>44343.15</v>
      </c>
    </row>
    <row r="32" spans="1:12" x14ac:dyDescent="0.3">
      <c r="A32" s="2" t="s">
        <v>39</v>
      </c>
      <c r="B32" s="2" t="s">
        <v>515</v>
      </c>
      <c r="C32" s="2" t="str">
        <f>_xlfn.XLOOKUP(Table24[[#This Row],[ProductName]],Table4[Product name],Table4[Category],"Not Found",0)</f>
        <v>Electronics</v>
      </c>
      <c r="D32" s="2">
        <v>253</v>
      </c>
      <c r="E32" s="2">
        <v>42</v>
      </c>
      <c r="F32" s="2" t="str" cm="1">
        <f t="array" ref="F32">_xlfn.IFS(Table24[[#This Row],[QuantityInStock]]&lt;=Table24[[#This Row],[ReorderPoint]],"Low Stock",Table24[[#This Row],[QuantityInStock]]&gt;Table24[[#This Row],[ReorderPoint]],"Adequate Stock",Table24[[#This Row],[QuantityInStock]]=0,"Out Of Stock")</f>
        <v>Adequate Stock</v>
      </c>
      <c r="G32" s="2" t="s">
        <v>518</v>
      </c>
      <c r="H32" s="2" t="s">
        <v>522</v>
      </c>
      <c r="I32" s="2">
        <v>11</v>
      </c>
      <c r="J32" s="2" t="s">
        <v>525</v>
      </c>
      <c r="K32" s="2">
        <v>175.7</v>
      </c>
      <c r="L32" s="2">
        <f>Table24[[#This Row],[QuantityInStock]]*Table24[[#This Row],[UnitCost]]</f>
        <v>44452.1</v>
      </c>
    </row>
    <row r="33" spans="1:12" x14ac:dyDescent="0.3">
      <c r="A33" s="2" t="s">
        <v>40</v>
      </c>
      <c r="B33" s="2" t="s">
        <v>509</v>
      </c>
      <c r="C33" s="2" t="str">
        <f>_xlfn.XLOOKUP(Table24[[#This Row],[ProductName]],Table4[Product name],Table4[Category],"Not Found",0)</f>
        <v>Electronics</v>
      </c>
      <c r="D33" s="2">
        <v>374</v>
      </c>
      <c r="E33" s="2">
        <v>50</v>
      </c>
      <c r="F33" s="2" t="str" cm="1">
        <f t="array" ref="F33">_xlfn.IFS(Table24[[#This Row],[QuantityInStock]]&lt;=Table24[[#This Row],[ReorderPoint]],"Low Stock",Table24[[#This Row],[QuantityInStock]]&gt;Table24[[#This Row],[ReorderPoint]],"Adequate Stock",Table24[[#This Row],[QuantityInStock]]=0,"Out Of Stock")</f>
        <v>Adequate Stock</v>
      </c>
      <c r="G33" s="2" t="s">
        <v>518</v>
      </c>
      <c r="H33" s="2" t="s">
        <v>522</v>
      </c>
      <c r="I33" s="2">
        <v>6</v>
      </c>
      <c r="J33" s="2" t="s">
        <v>526</v>
      </c>
      <c r="K33" s="2">
        <v>156.4</v>
      </c>
      <c r="L33" s="2">
        <f>Table24[[#This Row],[QuantityInStock]]*Table24[[#This Row],[UnitCost]]</f>
        <v>58493.599999999999</v>
      </c>
    </row>
    <row r="34" spans="1:12" x14ac:dyDescent="0.3">
      <c r="A34" s="2" t="s">
        <v>41</v>
      </c>
      <c r="B34" s="2" t="s">
        <v>510</v>
      </c>
      <c r="C34" s="2" t="str">
        <f>_xlfn.XLOOKUP(Table24[[#This Row],[ProductName]],Table4[Product name],Table4[Category],"Not Found",0)</f>
        <v>Electronics</v>
      </c>
      <c r="D34" s="2">
        <v>221</v>
      </c>
      <c r="E34" s="2">
        <v>67</v>
      </c>
      <c r="F34" s="2" t="str" cm="1">
        <f t="array" ref="F34">_xlfn.IFS(Table24[[#This Row],[QuantityInStock]]&lt;=Table24[[#This Row],[ReorderPoint]],"Low Stock",Table24[[#This Row],[QuantityInStock]]&gt;Table24[[#This Row],[ReorderPoint]],"Adequate Stock",Table24[[#This Row],[QuantityInStock]]=0,"Out Of Stock")</f>
        <v>Adequate Stock</v>
      </c>
      <c r="G34" s="2" t="s">
        <v>519</v>
      </c>
      <c r="H34" s="2" t="s">
        <v>523</v>
      </c>
      <c r="I34" s="2">
        <v>19</v>
      </c>
      <c r="J34" s="2" t="s">
        <v>527</v>
      </c>
      <c r="K34" s="2">
        <v>2.8</v>
      </c>
      <c r="L34" s="2">
        <f>Table24[[#This Row],[QuantityInStock]]*Table24[[#This Row],[UnitCost]]</f>
        <v>618.79999999999995</v>
      </c>
    </row>
    <row r="35" spans="1:12" x14ac:dyDescent="0.3">
      <c r="A35" s="2" t="s">
        <v>42</v>
      </c>
      <c r="B35" s="2" t="s">
        <v>511</v>
      </c>
      <c r="C35" s="2" t="str">
        <f>_xlfn.XLOOKUP(Table24[[#This Row],[ProductName]],Table4[Product name],Table4[Category],"Not Found",0)</f>
        <v>Electronics</v>
      </c>
      <c r="D35" s="2">
        <v>476</v>
      </c>
      <c r="E35" s="2">
        <v>99</v>
      </c>
      <c r="F35" s="2" t="str" cm="1">
        <f t="array" ref="F35">_xlfn.IFS(Table24[[#This Row],[QuantityInStock]]&lt;=Table24[[#This Row],[ReorderPoint]],"Low Stock",Table24[[#This Row],[QuantityInStock]]&gt;Table24[[#This Row],[ReorderPoint]],"Adequate Stock",Table24[[#This Row],[QuantityInStock]]=0,"Out Of Stock")</f>
        <v>Adequate Stock</v>
      </c>
      <c r="G35" s="2" t="s">
        <v>517</v>
      </c>
      <c r="H35" s="2" t="s">
        <v>521</v>
      </c>
      <c r="I35" s="2">
        <v>17</v>
      </c>
      <c r="J35" s="2" t="s">
        <v>528</v>
      </c>
      <c r="K35" s="2">
        <v>175.08</v>
      </c>
      <c r="L35" s="2">
        <f>Table24[[#This Row],[QuantityInStock]]*Table24[[#This Row],[UnitCost]]</f>
        <v>83338.080000000002</v>
      </c>
    </row>
    <row r="36" spans="1:12" x14ac:dyDescent="0.3">
      <c r="A36" s="2" t="s">
        <v>43</v>
      </c>
      <c r="B36" s="2" t="s">
        <v>512</v>
      </c>
      <c r="C36" s="2" t="str">
        <f>_xlfn.XLOOKUP(Table24[[#This Row],[ProductName]],Table4[Product name],Table4[Category],"Not Found",0)</f>
        <v>Furniture</v>
      </c>
      <c r="D36" s="2">
        <v>73</v>
      </c>
      <c r="E36" s="2">
        <v>33</v>
      </c>
      <c r="F36" s="2" t="str" cm="1">
        <f t="array" ref="F36">_xlfn.IFS(Table24[[#This Row],[QuantityInStock]]&lt;=Table24[[#This Row],[ReorderPoint]],"Low Stock",Table24[[#This Row],[QuantityInStock]]&gt;Table24[[#This Row],[ReorderPoint]],"Adequate Stock",Table24[[#This Row],[QuantityInStock]]=0,"Out Of Stock")</f>
        <v>Adequate Stock</v>
      </c>
      <c r="G36" s="2" t="s">
        <v>519</v>
      </c>
      <c r="H36" s="2" t="s">
        <v>523</v>
      </c>
      <c r="I36" s="2">
        <v>6</v>
      </c>
      <c r="J36" s="2" t="s">
        <v>525</v>
      </c>
      <c r="K36" s="2">
        <v>116.8</v>
      </c>
      <c r="L36" s="2">
        <f>Table24[[#This Row],[QuantityInStock]]*Table24[[#This Row],[UnitCost]]</f>
        <v>8526.4</v>
      </c>
    </row>
    <row r="37" spans="1:12" x14ac:dyDescent="0.3">
      <c r="A37" s="2" t="s">
        <v>44</v>
      </c>
      <c r="B37" s="2" t="s">
        <v>515</v>
      </c>
      <c r="C37" s="2" t="str">
        <f>_xlfn.XLOOKUP(Table24[[#This Row],[ProductName]],Table4[Product name],Table4[Category],"Not Found",0)</f>
        <v>Electronics</v>
      </c>
      <c r="D37" s="2">
        <v>367</v>
      </c>
      <c r="E37" s="2">
        <v>81</v>
      </c>
      <c r="F37" s="2" t="str" cm="1">
        <f t="array" ref="F37">_xlfn.IFS(Table24[[#This Row],[QuantityInStock]]&lt;=Table24[[#This Row],[ReorderPoint]],"Low Stock",Table24[[#This Row],[QuantityInStock]]&gt;Table24[[#This Row],[ReorderPoint]],"Adequate Stock",Table24[[#This Row],[QuantityInStock]]=0,"Out Of Stock")</f>
        <v>Adequate Stock</v>
      </c>
      <c r="G37" s="2" t="s">
        <v>518</v>
      </c>
      <c r="H37" s="2" t="s">
        <v>522</v>
      </c>
      <c r="I37" s="2">
        <v>14</v>
      </c>
      <c r="J37" s="2" t="s">
        <v>528</v>
      </c>
      <c r="K37" s="2">
        <v>77.84</v>
      </c>
      <c r="L37" s="2">
        <f>Table24[[#This Row],[QuantityInStock]]*Table24[[#This Row],[UnitCost]]</f>
        <v>28567.280000000002</v>
      </c>
    </row>
    <row r="38" spans="1:12" x14ac:dyDescent="0.3">
      <c r="A38" s="2" t="s">
        <v>45</v>
      </c>
      <c r="B38" s="2" t="s">
        <v>509</v>
      </c>
      <c r="C38" s="2" t="str">
        <f>_xlfn.XLOOKUP(Table24[[#This Row],[ProductName]],Table4[Product name],Table4[Category],"Not Found",0)</f>
        <v>Electronics</v>
      </c>
      <c r="D38" s="2">
        <v>314</v>
      </c>
      <c r="E38" s="2">
        <v>90</v>
      </c>
      <c r="F38" s="2" t="str" cm="1">
        <f t="array" ref="F38">_xlfn.IFS(Table24[[#This Row],[QuantityInStock]]&lt;=Table24[[#This Row],[ReorderPoint]],"Low Stock",Table24[[#This Row],[QuantityInStock]]&gt;Table24[[#This Row],[ReorderPoint]],"Adequate Stock",Table24[[#This Row],[QuantityInStock]]=0,"Out Of Stock")</f>
        <v>Adequate Stock</v>
      </c>
      <c r="G38" s="2" t="s">
        <v>517</v>
      </c>
      <c r="H38" s="2" t="s">
        <v>521</v>
      </c>
      <c r="I38" s="2">
        <v>8</v>
      </c>
      <c r="J38" s="2" t="s">
        <v>526</v>
      </c>
      <c r="K38" s="2">
        <v>94.12</v>
      </c>
      <c r="L38" s="2">
        <f>Table24[[#This Row],[QuantityInStock]]*Table24[[#This Row],[UnitCost]]</f>
        <v>29553.68</v>
      </c>
    </row>
    <row r="39" spans="1:12" x14ac:dyDescent="0.3">
      <c r="A39" s="2" t="s">
        <v>46</v>
      </c>
      <c r="B39" s="2" t="s">
        <v>515</v>
      </c>
      <c r="C39" s="2" t="str">
        <f>_xlfn.XLOOKUP(Table24[[#This Row],[ProductName]],Table4[Product name],Table4[Category],"Not Found",0)</f>
        <v>Electronics</v>
      </c>
      <c r="D39" s="2">
        <v>38</v>
      </c>
      <c r="E39" s="2">
        <v>43</v>
      </c>
      <c r="F39" s="2" t="str" cm="1">
        <f t="array" ref="F39">_xlfn.IFS(Table24[[#This Row],[QuantityInStock]]&lt;=Table24[[#This Row],[ReorderPoint]],"Low Stock",Table24[[#This Row],[QuantityInStock]]&gt;Table24[[#This Row],[ReorderPoint]],"Adequate Stock",Table24[[#This Row],[QuantityInStock]]=0,"Out Of Stock")</f>
        <v>Low Stock</v>
      </c>
      <c r="G39" s="2" t="s">
        <v>517</v>
      </c>
      <c r="H39" s="2" t="s">
        <v>521</v>
      </c>
      <c r="I39" s="2">
        <v>14</v>
      </c>
      <c r="J39" s="2" t="s">
        <v>528</v>
      </c>
      <c r="K39" s="2">
        <v>177.72</v>
      </c>
      <c r="L39" s="2">
        <f>Table24[[#This Row],[QuantityInStock]]*Table24[[#This Row],[UnitCost]]</f>
        <v>6753.36</v>
      </c>
    </row>
    <row r="40" spans="1:12" x14ac:dyDescent="0.3">
      <c r="A40" s="2" t="s">
        <v>47</v>
      </c>
      <c r="B40" s="2" t="s">
        <v>512</v>
      </c>
      <c r="C40" s="2" t="str">
        <f>_xlfn.XLOOKUP(Table24[[#This Row],[ProductName]],Table4[Product name],Table4[Category],"Not Found",0)</f>
        <v>Furniture</v>
      </c>
      <c r="D40" s="2">
        <v>423</v>
      </c>
      <c r="E40" s="2">
        <v>51</v>
      </c>
      <c r="F40" s="2" t="str" cm="1">
        <f t="array" ref="F40">_xlfn.IFS(Table24[[#This Row],[QuantityInStock]]&lt;=Table24[[#This Row],[ReorderPoint]],"Low Stock",Table24[[#This Row],[QuantityInStock]]&gt;Table24[[#This Row],[ReorderPoint]],"Adequate Stock",Table24[[#This Row],[QuantityInStock]]=0,"Out Of Stock")</f>
        <v>Adequate Stock</v>
      </c>
      <c r="G40" s="2" t="s">
        <v>519</v>
      </c>
      <c r="H40" s="2" t="s">
        <v>523</v>
      </c>
      <c r="I40" s="2">
        <v>21</v>
      </c>
      <c r="J40" s="2" t="s">
        <v>526</v>
      </c>
      <c r="K40" s="2">
        <v>154.86000000000001</v>
      </c>
      <c r="L40" s="2">
        <f>Table24[[#This Row],[QuantityInStock]]*Table24[[#This Row],[UnitCost]]</f>
        <v>65505.780000000006</v>
      </c>
    </row>
    <row r="41" spans="1:12" x14ac:dyDescent="0.3">
      <c r="A41" s="2" t="s">
        <v>48</v>
      </c>
      <c r="B41" s="2" t="s">
        <v>512</v>
      </c>
      <c r="C41" s="2" t="str">
        <f>_xlfn.XLOOKUP(Table24[[#This Row],[ProductName]],Table4[Product name],Table4[Category],"Not Found",0)</f>
        <v>Furniture</v>
      </c>
      <c r="D41" s="2">
        <v>447</v>
      </c>
      <c r="E41" s="2">
        <v>99</v>
      </c>
      <c r="F41" s="2" t="str" cm="1">
        <f t="array" ref="F41">_xlfn.IFS(Table24[[#This Row],[QuantityInStock]]&lt;=Table24[[#This Row],[ReorderPoint]],"Low Stock",Table24[[#This Row],[QuantityInStock]]&gt;Table24[[#This Row],[ReorderPoint]],"Adequate Stock",Table24[[#This Row],[QuantityInStock]]=0,"Out Of Stock")</f>
        <v>Adequate Stock</v>
      </c>
      <c r="G41" s="2" t="s">
        <v>516</v>
      </c>
      <c r="H41" s="2" t="s">
        <v>520</v>
      </c>
      <c r="I41" s="2">
        <v>9</v>
      </c>
      <c r="J41" s="2" t="s">
        <v>525</v>
      </c>
      <c r="K41" s="2">
        <v>28.72</v>
      </c>
      <c r="L41" s="2">
        <f>Table24[[#This Row],[QuantityInStock]]*Table24[[#This Row],[UnitCost]]</f>
        <v>12837.84</v>
      </c>
    </row>
    <row r="42" spans="1:12" x14ac:dyDescent="0.3">
      <c r="A42" s="2" t="s">
        <v>49</v>
      </c>
      <c r="B42" s="2" t="s">
        <v>509</v>
      </c>
      <c r="C42" s="2" t="str">
        <f>_xlfn.XLOOKUP(Table24[[#This Row],[ProductName]],Table4[Product name],Table4[Category],"Not Found",0)</f>
        <v>Electronics</v>
      </c>
      <c r="D42" s="2">
        <v>379</v>
      </c>
      <c r="E42" s="2">
        <v>66</v>
      </c>
      <c r="F42" s="2" t="str" cm="1">
        <f t="array" ref="F42">_xlfn.IFS(Table24[[#This Row],[QuantityInStock]]&lt;=Table24[[#This Row],[ReorderPoint]],"Low Stock",Table24[[#This Row],[QuantityInStock]]&gt;Table24[[#This Row],[ReorderPoint]],"Adequate Stock",Table24[[#This Row],[QuantityInStock]]=0,"Out Of Stock")</f>
        <v>Adequate Stock</v>
      </c>
      <c r="G42" s="2" t="s">
        <v>519</v>
      </c>
      <c r="H42" s="2" t="s">
        <v>523</v>
      </c>
      <c r="I42" s="2">
        <v>18</v>
      </c>
      <c r="J42" s="2" t="s">
        <v>527</v>
      </c>
      <c r="K42" s="2">
        <v>67.36</v>
      </c>
      <c r="L42" s="2">
        <f>Table24[[#This Row],[QuantityInStock]]*Table24[[#This Row],[UnitCost]]</f>
        <v>25529.439999999999</v>
      </c>
    </row>
    <row r="43" spans="1:12" x14ac:dyDescent="0.3">
      <c r="A43" s="2" t="s">
        <v>50</v>
      </c>
      <c r="B43" s="2" t="s">
        <v>512</v>
      </c>
      <c r="C43" s="2" t="str">
        <f>_xlfn.XLOOKUP(Table24[[#This Row],[ProductName]],Table4[Product name],Table4[Category],"Not Found",0)</f>
        <v>Furniture</v>
      </c>
      <c r="D43" s="2">
        <v>479</v>
      </c>
      <c r="E43" s="2">
        <v>38</v>
      </c>
      <c r="F43" s="2" t="str" cm="1">
        <f t="array" ref="F43">_xlfn.IFS(Table24[[#This Row],[QuantityInStock]]&lt;=Table24[[#This Row],[ReorderPoint]],"Low Stock",Table24[[#This Row],[QuantityInStock]]&gt;Table24[[#This Row],[ReorderPoint]],"Adequate Stock",Table24[[#This Row],[QuantityInStock]]=0,"Out Of Stock")</f>
        <v>Adequate Stock</v>
      </c>
      <c r="G43" s="2" t="s">
        <v>518</v>
      </c>
      <c r="H43" s="2" t="s">
        <v>522</v>
      </c>
      <c r="I43" s="2">
        <v>21</v>
      </c>
      <c r="J43" s="2" t="s">
        <v>524</v>
      </c>
      <c r="K43" s="2">
        <v>46.56</v>
      </c>
      <c r="L43" s="2">
        <f>Table24[[#This Row],[QuantityInStock]]*Table24[[#This Row],[UnitCost]]</f>
        <v>22302.240000000002</v>
      </c>
    </row>
    <row r="44" spans="1:12" x14ac:dyDescent="0.3">
      <c r="A44" s="2" t="s">
        <v>51</v>
      </c>
      <c r="B44" s="2" t="s">
        <v>513</v>
      </c>
      <c r="C44" s="2" t="str">
        <f>_xlfn.XLOOKUP(Table24[[#This Row],[ProductName]],Table4[Product name],Table4[Category],"Not Found",0)</f>
        <v>Electronics</v>
      </c>
      <c r="D44" s="2">
        <v>14</v>
      </c>
      <c r="E44" s="2">
        <v>72</v>
      </c>
      <c r="F44" s="2" t="str" cm="1">
        <f t="array" ref="F44">_xlfn.IFS(Table24[[#This Row],[QuantityInStock]]&lt;=Table24[[#This Row],[ReorderPoint]],"Low Stock",Table24[[#This Row],[QuantityInStock]]&gt;Table24[[#This Row],[ReorderPoint]],"Adequate Stock",Table24[[#This Row],[QuantityInStock]]=0,"Out Of Stock")</f>
        <v>Low Stock</v>
      </c>
      <c r="G44" s="2" t="s">
        <v>517</v>
      </c>
      <c r="H44" s="2" t="s">
        <v>521</v>
      </c>
      <c r="I44" s="2">
        <v>21</v>
      </c>
      <c r="J44" s="2" t="s">
        <v>526</v>
      </c>
      <c r="K44" s="2">
        <v>104.55</v>
      </c>
      <c r="L44" s="2">
        <f>Table24[[#This Row],[QuantityInStock]]*Table24[[#This Row],[UnitCost]]</f>
        <v>1463.7</v>
      </c>
    </row>
    <row r="45" spans="1:12" x14ac:dyDescent="0.3">
      <c r="A45" s="2" t="s">
        <v>52</v>
      </c>
      <c r="B45" s="2" t="s">
        <v>515</v>
      </c>
      <c r="C45" s="2" t="str">
        <f>_xlfn.XLOOKUP(Table24[[#This Row],[ProductName]],Table4[Product name],Table4[Category],"Not Found",0)</f>
        <v>Electronics</v>
      </c>
      <c r="D45" s="2">
        <v>223</v>
      </c>
      <c r="E45" s="2">
        <v>45</v>
      </c>
      <c r="F45" s="2" t="str" cm="1">
        <f t="array" ref="F45">_xlfn.IFS(Table24[[#This Row],[QuantityInStock]]&lt;=Table24[[#This Row],[ReorderPoint]],"Low Stock",Table24[[#This Row],[QuantityInStock]]&gt;Table24[[#This Row],[ReorderPoint]],"Adequate Stock",Table24[[#This Row],[QuantityInStock]]=0,"Out Of Stock")</f>
        <v>Adequate Stock</v>
      </c>
      <c r="G45" s="2" t="s">
        <v>516</v>
      </c>
      <c r="H45" s="2" t="s">
        <v>520</v>
      </c>
      <c r="I45" s="2">
        <v>11</v>
      </c>
      <c r="J45" s="2" t="s">
        <v>525</v>
      </c>
      <c r="K45" s="2">
        <v>199.86</v>
      </c>
      <c r="L45" s="2">
        <f>Table24[[#This Row],[QuantityInStock]]*Table24[[#This Row],[UnitCost]]</f>
        <v>44568.780000000006</v>
      </c>
    </row>
    <row r="46" spans="1:12" x14ac:dyDescent="0.3">
      <c r="A46" s="2" t="s">
        <v>53</v>
      </c>
      <c r="B46" s="2" t="s">
        <v>513</v>
      </c>
      <c r="C46" s="2" t="str">
        <f>_xlfn.XLOOKUP(Table24[[#This Row],[ProductName]],Table4[Product name],Table4[Category],"Not Found",0)</f>
        <v>Electronics</v>
      </c>
      <c r="D46" s="2">
        <v>82</v>
      </c>
      <c r="E46" s="2">
        <v>98</v>
      </c>
      <c r="F46" s="2" t="str" cm="1">
        <f t="array" ref="F46">_xlfn.IFS(Table24[[#This Row],[QuantityInStock]]&lt;=Table24[[#This Row],[ReorderPoint]],"Low Stock",Table24[[#This Row],[QuantityInStock]]&gt;Table24[[#This Row],[ReorderPoint]],"Adequate Stock",Table24[[#This Row],[QuantityInStock]]=0,"Out Of Stock")</f>
        <v>Low Stock</v>
      </c>
      <c r="G46" s="2" t="s">
        <v>516</v>
      </c>
      <c r="H46" s="2" t="s">
        <v>520</v>
      </c>
      <c r="I46" s="2">
        <v>8</v>
      </c>
      <c r="J46" s="2" t="s">
        <v>526</v>
      </c>
      <c r="K46" s="2">
        <v>183.72</v>
      </c>
      <c r="L46" s="2">
        <f>Table24[[#This Row],[QuantityInStock]]*Table24[[#This Row],[UnitCost]]</f>
        <v>15065.039999999999</v>
      </c>
    </row>
    <row r="47" spans="1:12" x14ac:dyDescent="0.3">
      <c r="A47" s="2" t="s">
        <v>54</v>
      </c>
      <c r="B47" s="2" t="s">
        <v>510</v>
      </c>
      <c r="C47" s="2" t="str">
        <f>_xlfn.XLOOKUP(Table24[[#This Row],[ProductName]],Table4[Product name],Table4[Category],"Not Found",0)</f>
        <v>Electronics</v>
      </c>
      <c r="D47" s="2">
        <v>439</v>
      </c>
      <c r="E47" s="2">
        <v>33</v>
      </c>
      <c r="F47" s="2" t="str" cm="1">
        <f t="array" ref="F47">_xlfn.IFS(Table24[[#This Row],[QuantityInStock]]&lt;=Table24[[#This Row],[ReorderPoint]],"Low Stock",Table24[[#This Row],[QuantityInStock]]&gt;Table24[[#This Row],[ReorderPoint]],"Adequate Stock",Table24[[#This Row],[QuantityInStock]]=0,"Out Of Stock")</f>
        <v>Adequate Stock</v>
      </c>
      <c r="G47" s="2" t="s">
        <v>516</v>
      </c>
      <c r="H47" s="2" t="s">
        <v>520</v>
      </c>
      <c r="I47" s="2">
        <v>18</v>
      </c>
      <c r="J47" s="2" t="s">
        <v>524</v>
      </c>
      <c r="K47" s="2">
        <v>81.16</v>
      </c>
      <c r="L47" s="2">
        <f>Table24[[#This Row],[QuantityInStock]]*Table24[[#This Row],[UnitCost]]</f>
        <v>35629.24</v>
      </c>
    </row>
    <row r="48" spans="1:12" x14ac:dyDescent="0.3">
      <c r="A48" s="2" t="s">
        <v>55</v>
      </c>
      <c r="B48" s="2" t="s">
        <v>512</v>
      </c>
      <c r="C48" s="2" t="str">
        <f>_xlfn.XLOOKUP(Table24[[#This Row],[ProductName]],Table4[Product name],Table4[Category],"Not Found",0)</f>
        <v>Furniture</v>
      </c>
      <c r="D48" s="2">
        <v>430</v>
      </c>
      <c r="E48" s="2">
        <v>73</v>
      </c>
      <c r="F48" s="2" t="str" cm="1">
        <f t="array" ref="F48">_xlfn.IFS(Table24[[#This Row],[QuantityInStock]]&lt;=Table24[[#This Row],[ReorderPoint]],"Low Stock",Table24[[#This Row],[QuantityInStock]]&gt;Table24[[#This Row],[ReorderPoint]],"Adequate Stock",Table24[[#This Row],[QuantityInStock]]=0,"Out Of Stock")</f>
        <v>Adequate Stock</v>
      </c>
      <c r="G48" s="2" t="s">
        <v>517</v>
      </c>
      <c r="H48" s="2" t="s">
        <v>521</v>
      </c>
      <c r="I48" s="2">
        <v>9</v>
      </c>
      <c r="J48" s="2" t="s">
        <v>527</v>
      </c>
      <c r="K48" s="2">
        <v>142.19999999999999</v>
      </c>
      <c r="L48" s="2">
        <f>Table24[[#This Row],[QuantityInStock]]*Table24[[#This Row],[UnitCost]]</f>
        <v>61145.999999999993</v>
      </c>
    </row>
    <row r="49" spans="1:12" x14ac:dyDescent="0.3">
      <c r="A49" s="2" t="s">
        <v>56</v>
      </c>
      <c r="B49" s="2" t="s">
        <v>512</v>
      </c>
      <c r="C49" s="2" t="str">
        <f>_xlfn.XLOOKUP(Table24[[#This Row],[ProductName]],Table4[Product name],Table4[Category],"Not Found",0)</f>
        <v>Furniture</v>
      </c>
      <c r="D49" s="2">
        <v>391</v>
      </c>
      <c r="E49" s="2">
        <v>79</v>
      </c>
      <c r="F49" s="2" t="str" cm="1">
        <f t="array" ref="F49">_xlfn.IFS(Table24[[#This Row],[QuantityInStock]]&lt;=Table24[[#This Row],[ReorderPoint]],"Low Stock",Table24[[#This Row],[QuantityInStock]]&gt;Table24[[#This Row],[ReorderPoint]],"Adequate Stock",Table24[[#This Row],[QuantityInStock]]=0,"Out Of Stock")</f>
        <v>Adequate Stock</v>
      </c>
      <c r="G49" s="2" t="s">
        <v>516</v>
      </c>
      <c r="H49" s="2" t="s">
        <v>520</v>
      </c>
      <c r="I49" s="2">
        <v>14</v>
      </c>
      <c r="J49" s="2" t="s">
        <v>528</v>
      </c>
      <c r="K49" s="2">
        <v>12.09</v>
      </c>
      <c r="L49" s="2">
        <f>Table24[[#This Row],[QuantityInStock]]*Table24[[#This Row],[UnitCost]]</f>
        <v>4727.1899999999996</v>
      </c>
    </row>
    <row r="50" spans="1:12" x14ac:dyDescent="0.3">
      <c r="A50" s="2" t="s">
        <v>57</v>
      </c>
      <c r="B50" s="2" t="s">
        <v>515</v>
      </c>
      <c r="C50" s="2" t="str">
        <f>_xlfn.XLOOKUP(Table24[[#This Row],[ProductName]],Table4[Product name],Table4[Category],"Not Found",0)</f>
        <v>Electronics</v>
      </c>
      <c r="D50" s="2">
        <v>156</v>
      </c>
      <c r="E50" s="2">
        <v>38</v>
      </c>
      <c r="F50" s="2" t="str" cm="1">
        <f t="array" ref="F50">_xlfn.IFS(Table24[[#This Row],[QuantityInStock]]&lt;=Table24[[#This Row],[ReorderPoint]],"Low Stock",Table24[[#This Row],[QuantityInStock]]&gt;Table24[[#This Row],[ReorderPoint]],"Adequate Stock",Table24[[#This Row],[QuantityInStock]]=0,"Out Of Stock")</f>
        <v>Adequate Stock</v>
      </c>
      <c r="G50" s="2" t="s">
        <v>518</v>
      </c>
      <c r="H50" s="2" t="s">
        <v>522</v>
      </c>
      <c r="I50" s="2">
        <v>16</v>
      </c>
      <c r="J50" s="2" t="s">
        <v>524</v>
      </c>
      <c r="K50" s="2">
        <v>42.39</v>
      </c>
      <c r="L50" s="2">
        <f>Table24[[#This Row],[QuantityInStock]]*Table24[[#This Row],[UnitCost]]</f>
        <v>6612.84</v>
      </c>
    </row>
    <row r="51" spans="1:12" x14ac:dyDescent="0.3">
      <c r="A51" s="2" t="s">
        <v>58</v>
      </c>
      <c r="B51" s="2" t="s">
        <v>511</v>
      </c>
      <c r="C51" s="2" t="str">
        <f>_xlfn.XLOOKUP(Table24[[#This Row],[ProductName]],Table4[Product name],Table4[Category],"Not Found",0)</f>
        <v>Electronics</v>
      </c>
      <c r="D51" s="2">
        <v>61</v>
      </c>
      <c r="E51" s="2">
        <v>96</v>
      </c>
      <c r="F51" s="2" t="str" cm="1">
        <f t="array" ref="F51">_xlfn.IFS(Table24[[#This Row],[QuantityInStock]]&lt;=Table24[[#This Row],[ReorderPoint]],"Low Stock",Table24[[#This Row],[QuantityInStock]]&gt;Table24[[#This Row],[ReorderPoint]],"Adequate Stock",Table24[[#This Row],[QuantityInStock]]=0,"Out Of Stock")</f>
        <v>Low Stock</v>
      </c>
      <c r="G51" s="2" t="s">
        <v>519</v>
      </c>
      <c r="H51" s="2" t="s">
        <v>523</v>
      </c>
      <c r="I51" s="2">
        <v>9</v>
      </c>
      <c r="J51" s="2" t="s">
        <v>526</v>
      </c>
      <c r="K51" s="2">
        <v>132.96</v>
      </c>
      <c r="L51" s="2">
        <f>Table24[[#This Row],[QuantityInStock]]*Table24[[#This Row],[UnitCost]]</f>
        <v>8110.56</v>
      </c>
    </row>
    <row r="52" spans="1:12" x14ac:dyDescent="0.3">
      <c r="A52" s="2" t="s">
        <v>59</v>
      </c>
      <c r="B52" s="2" t="s">
        <v>509</v>
      </c>
      <c r="C52" s="2" t="str">
        <f>_xlfn.XLOOKUP(Table24[[#This Row],[ProductName]],Table4[Product name],Table4[Category],"Not Found",0)</f>
        <v>Electronics</v>
      </c>
      <c r="D52" s="2">
        <v>342</v>
      </c>
      <c r="E52" s="2">
        <v>73</v>
      </c>
      <c r="F52" s="2" t="str" cm="1">
        <f t="array" ref="F52">_xlfn.IFS(Table24[[#This Row],[QuantityInStock]]&lt;=Table24[[#This Row],[ReorderPoint]],"Low Stock",Table24[[#This Row],[QuantityInStock]]&gt;Table24[[#This Row],[ReorderPoint]],"Adequate Stock",Table24[[#This Row],[QuantityInStock]]=0,"Out Of Stock")</f>
        <v>Adequate Stock</v>
      </c>
      <c r="G52" s="2" t="s">
        <v>517</v>
      </c>
      <c r="H52" s="2" t="s">
        <v>521</v>
      </c>
      <c r="I52" s="2">
        <v>5</v>
      </c>
      <c r="J52" s="2" t="s">
        <v>524</v>
      </c>
      <c r="K52" s="2">
        <v>56.11</v>
      </c>
      <c r="L52" s="2">
        <f>Table24[[#This Row],[QuantityInStock]]*Table24[[#This Row],[UnitCost]]</f>
        <v>19189.62</v>
      </c>
    </row>
    <row r="53" spans="1:12" x14ac:dyDescent="0.3">
      <c r="A53" s="2" t="s">
        <v>60</v>
      </c>
      <c r="B53" s="2" t="s">
        <v>509</v>
      </c>
      <c r="C53" s="2" t="str">
        <f>_xlfn.XLOOKUP(Table24[[#This Row],[ProductName]],Table4[Product name],Table4[Category],"Not Found",0)</f>
        <v>Electronics</v>
      </c>
      <c r="D53" s="2">
        <v>56</v>
      </c>
      <c r="E53" s="2">
        <v>44</v>
      </c>
      <c r="F53" s="2" t="str" cm="1">
        <f t="array" ref="F53">_xlfn.IFS(Table24[[#This Row],[QuantityInStock]]&lt;=Table24[[#This Row],[ReorderPoint]],"Low Stock",Table24[[#This Row],[QuantityInStock]]&gt;Table24[[#This Row],[ReorderPoint]],"Adequate Stock",Table24[[#This Row],[QuantityInStock]]=0,"Out Of Stock")</f>
        <v>Adequate Stock</v>
      </c>
      <c r="G53" s="2" t="s">
        <v>519</v>
      </c>
      <c r="H53" s="2" t="s">
        <v>523</v>
      </c>
      <c r="I53" s="2">
        <v>7</v>
      </c>
      <c r="J53" s="2" t="s">
        <v>527</v>
      </c>
      <c r="K53" s="2">
        <v>87.04</v>
      </c>
      <c r="L53" s="2">
        <f>Table24[[#This Row],[QuantityInStock]]*Table24[[#This Row],[UnitCost]]</f>
        <v>4874.2400000000007</v>
      </c>
    </row>
    <row r="54" spans="1:12" x14ac:dyDescent="0.3">
      <c r="A54" s="2" t="s">
        <v>61</v>
      </c>
      <c r="B54" s="2" t="s">
        <v>515</v>
      </c>
      <c r="C54" s="2" t="str">
        <f>_xlfn.XLOOKUP(Table24[[#This Row],[ProductName]],Table4[Product name],Table4[Category],"Not Found",0)</f>
        <v>Electronics</v>
      </c>
      <c r="D54" s="2">
        <v>38</v>
      </c>
      <c r="E54" s="2">
        <v>35</v>
      </c>
      <c r="F54" s="2" t="str" cm="1">
        <f t="array" ref="F54">_xlfn.IFS(Table24[[#This Row],[QuantityInStock]]&lt;=Table24[[#This Row],[ReorderPoint]],"Low Stock",Table24[[#This Row],[QuantityInStock]]&gt;Table24[[#This Row],[ReorderPoint]],"Adequate Stock",Table24[[#This Row],[QuantityInStock]]=0,"Out Of Stock")</f>
        <v>Adequate Stock</v>
      </c>
      <c r="G54" s="2" t="s">
        <v>518</v>
      </c>
      <c r="H54" s="2" t="s">
        <v>522</v>
      </c>
      <c r="I54" s="2">
        <v>7</v>
      </c>
      <c r="J54" s="2" t="s">
        <v>528</v>
      </c>
      <c r="K54" s="2">
        <v>31.88</v>
      </c>
      <c r="L54" s="2">
        <f>Table24[[#This Row],[QuantityInStock]]*Table24[[#This Row],[UnitCost]]</f>
        <v>1211.44</v>
      </c>
    </row>
    <row r="55" spans="1:12" x14ac:dyDescent="0.3">
      <c r="A55" s="2" t="s">
        <v>62</v>
      </c>
      <c r="B55" s="2" t="s">
        <v>510</v>
      </c>
      <c r="C55" s="2" t="str">
        <f>_xlfn.XLOOKUP(Table24[[#This Row],[ProductName]],Table4[Product name],Table4[Category],"Not Found",0)</f>
        <v>Electronics</v>
      </c>
      <c r="D55" s="2">
        <v>115</v>
      </c>
      <c r="E55" s="2">
        <v>81</v>
      </c>
      <c r="F55" s="2" t="str" cm="1">
        <f t="array" ref="F55">_xlfn.IFS(Table24[[#This Row],[QuantityInStock]]&lt;=Table24[[#This Row],[ReorderPoint]],"Low Stock",Table24[[#This Row],[QuantityInStock]]&gt;Table24[[#This Row],[ReorderPoint]],"Adequate Stock",Table24[[#This Row],[QuantityInStock]]=0,"Out Of Stock")</f>
        <v>Adequate Stock</v>
      </c>
      <c r="G55" s="2" t="s">
        <v>517</v>
      </c>
      <c r="H55" s="2" t="s">
        <v>521</v>
      </c>
      <c r="I55" s="2">
        <v>4</v>
      </c>
      <c r="J55" s="2" t="s">
        <v>525</v>
      </c>
      <c r="K55" s="2">
        <v>31.74</v>
      </c>
      <c r="L55" s="2">
        <f>Table24[[#This Row],[QuantityInStock]]*Table24[[#This Row],[UnitCost]]</f>
        <v>3650.1</v>
      </c>
    </row>
    <row r="56" spans="1:12" x14ac:dyDescent="0.3">
      <c r="A56" s="2" t="s">
        <v>63</v>
      </c>
      <c r="B56" s="2" t="s">
        <v>509</v>
      </c>
      <c r="C56" s="2" t="str">
        <f>_xlfn.XLOOKUP(Table24[[#This Row],[ProductName]],Table4[Product name],Table4[Category],"Not Found",0)</f>
        <v>Electronics</v>
      </c>
      <c r="D56" s="2">
        <v>480</v>
      </c>
      <c r="E56" s="2">
        <v>91</v>
      </c>
      <c r="F56" s="2" t="str" cm="1">
        <f t="array" ref="F56">_xlfn.IFS(Table24[[#This Row],[QuantityInStock]]&lt;=Table24[[#This Row],[ReorderPoint]],"Low Stock",Table24[[#This Row],[QuantityInStock]]&gt;Table24[[#This Row],[ReorderPoint]],"Adequate Stock",Table24[[#This Row],[QuantityInStock]]=0,"Out Of Stock")</f>
        <v>Adequate Stock</v>
      </c>
      <c r="G56" s="2" t="s">
        <v>517</v>
      </c>
      <c r="H56" s="2" t="s">
        <v>521</v>
      </c>
      <c r="I56" s="2">
        <v>19</v>
      </c>
      <c r="J56" s="2" t="s">
        <v>528</v>
      </c>
      <c r="K56" s="2">
        <v>79.510000000000005</v>
      </c>
      <c r="L56" s="2">
        <f>Table24[[#This Row],[QuantityInStock]]*Table24[[#This Row],[UnitCost]]</f>
        <v>38164.800000000003</v>
      </c>
    </row>
    <row r="57" spans="1:12" x14ac:dyDescent="0.3">
      <c r="A57" s="2" t="s">
        <v>64</v>
      </c>
      <c r="B57" s="2" t="s">
        <v>511</v>
      </c>
      <c r="C57" s="2" t="str">
        <f>_xlfn.XLOOKUP(Table24[[#This Row],[ProductName]],Table4[Product name],Table4[Category],"Not Found",0)</f>
        <v>Electronics</v>
      </c>
      <c r="D57" s="2">
        <v>327</v>
      </c>
      <c r="E57" s="2">
        <v>97</v>
      </c>
      <c r="F57" s="2" t="str" cm="1">
        <f t="array" ref="F57">_xlfn.IFS(Table24[[#This Row],[QuantityInStock]]&lt;=Table24[[#This Row],[ReorderPoint]],"Low Stock",Table24[[#This Row],[QuantityInStock]]&gt;Table24[[#This Row],[ReorderPoint]],"Adequate Stock",Table24[[#This Row],[QuantityInStock]]=0,"Out Of Stock")</f>
        <v>Adequate Stock</v>
      </c>
      <c r="G57" s="2" t="s">
        <v>517</v>
      </c>
      <c r="H57" s="2" t="s">
        <v>521</v>
      </c>
      <c r="I57" s="2">
        <v>7</v>
      </c>
      <c r="J57" s="2" t="s">
        <v>528</v>
      </c>
      <c r="K57" s="2">
        <v>7.41</v>
      </c>
      <c r="L57" s="2">
        <f>Table24[[#This Row],[QuantityInStock]]*Table24[[#This Row],[UnitCost]]</f>
        <v>2423.0700000000002</v>
      </c>
    </row>
    <row r="58" spans="1:12" x14ac:dyDescent="0.3">
      <c r="A58" s="2" t="s">
        <v>65</v>
      </c>
      <c r="B58" s="2" t="s">
        <v>509</v>
      </c>
      <c r="C58" s="2" t="str">
        <f>_xlfn.XLOOKUP(Table24[[#This Row],[ProductName]],Table4[Product name],Table4[Category],"Not Found",0)</f>
        <v>Electronics</v>
      </c>
      <c r="D58" s="2">
        <v>119</v>
      </c>
      <c r="E58" s="2">
        <v>96</v>
      </c>
      <c r="F58" s="2" t="str" cm="1">
        <f t="array" ref="F58">_xlfn.IFS(Table24[[#This Row],[QuantityInStock]]&lt;=Table24[[#This Row],[ReorderPoint]],"Low Stock",Table24[[#This Row],[QuantityInStock]]&gt;Table24[[#This Row],[ReorderPoint]],"Adequate Stock",Table24[[#This Row],[QuantityInStock]]=0,"Out Of Stock")</f>
        <v>Adequate Stock</v>
      </c>
      <c r="G58" s="2" t="s">
        <v>517</v>
      </c>
      <c r="H58" s="2" t="s">
        <v>521</v>
      </c>
      <c r="I58" s="2">
        <v>12</v>
      </c>
      <c r="J58" s="2" t="s">
        <v>528</v>
      </c>
      <c r="K58" s="2">
        <v>28.11</v>
      </c>
      <c r="L58" s="2">
        <f>Table24[[#This Row],[QuantityInStock]]*Table24[[#This Row],[UnitCost]]</f>
        <v>3345.09</v>
      </c>
    </row>
    <row r="59" spans="1:12" x14ac:dyDescent="0.3">
      <c r="A59" s="2" t="s">
        <v>66</v>
      </c>
      <c r="B59" s="2" t="s">
        <v>509</v>
      </c>
      <c r="C59" s="2" t="str">
        <f>_xlfn.XLOOKUP(Table24[[#This Row],[ProductName]],Table4[Product name],Table4[Category],"Not Found",0)</f>
        <v>Electronics</v>
      </c>
      <c r="D59" s="2">
        <v>444</v>
      </c>
      <c r="E59" s="2">
        <v>21</v>
      </c>
      <c r="F59" s="2" t="str" cm="1">
        <f t="array" ref="F59">_xlfn.IFS(Table24[[#This Row],[QuantityInStock]]&lt;=Table24[[#This Row],[ReorderPoint]],"Low Stock",Table24[[#This Row],[QuantityInStock]]&gt;Table24[[#This Row],[ReorderPoint]],"Adequate Stock",Table24[[#This Row],[QuantityInStock]]=0,"Out Of Stock")</f>
        <v>Adequate Stock</v>
      </c>
      <c r="G59" s="2" t="s">
        <v>518</v>
      </c>
      <c r="H59" s="2" t="s">
        <v>522</v>
      </c>
      <c r="I59" s="2">
        <v>19</v>
      </c>
      <c r="J59" s="2" t="s">
        <v>527</v>
      </c>
      <c r="K59" s="2">
        <v>124.11</v>
      </c>
      <c r="L59" s="2">
        <f>Table24[[#This Row],[QuantityInStock]]*Table24[[#This Row],[UnitCost]]</f>
        <v>55104.84</v>
      </c>
    </row>
    <row r="60" spans="1:12" x14ac:dyDescent="0.3">
      <c r="A60" s="2" t="s">
        <v>67</v>
      </c>
      <c r="B60" s="2" t="s">
        <v>509</v>
      </c>
      <c r="C60" s="2" t="str">
        <f>_xlfn.XLOOKUP(Table24[[#This Row],[ProductName]],Table4[Product name],Table4[Category],"Not Found",0)</f>
        <v>Electronics</v>
      </c>
      <c r="D60" s="2">
        <v>472</v>
      </c>
      <c r="E60" s="2">
        <v>27</v>
      </c>
      <c r="F60" s="2" t="str" cm="1">
        <f t="array" ref="F60">_xlfn.IFS(Table24[[#This Row],[QuantityInStock]]&lt;=Table24[[#This Row],[ReorderPoint]],"Low Stock",Table24[[#This Row],[QuantityInStock]]&gt;Table24[[#This Row],[ReorderPoint]],"Adequate Stock",Table24[[#This Row],[QuantityInStock]]=0,"Out Of Stock")</f>
        <v>Adequate Stock</v>
      </c>
      <c r="G60" s="2" t="s">
        <v>517</v>
      </c>
      <c r="H60" s="2" t="s">
        <v>521</v>
      </c>
      <c r="I60" s="2">
        <v>7</v>
      </c>
      <c r="J60" s="2" t="s">
        <v>528</v>
      </c>
      <c r="K60" s="2">
        <v>101.98</v>
      </c>
      <c r="L60" s="2">
        <f>Table24[[#This Row],[QuantityInStock]]*Table24[[#This Row],[UnitCost]]</f>
        <v>48134.560000000005</v>
      </c>
    </row>
    <row r="61" spans="1:12" x14ac:dyDescent="0.3">
      <c r="A61" s="2" t="s">
        <v>68</v>
      </c>
      <c r="B61" s="2" t="s">
        <v>509</v>
      </c>
      <c r="C61" s="2" t="str">
        <f>_xlfn.XLOOKUP(Table24[[#This Row],[ProductName]],Table4[Product name],Table4[Category],"Not Found",0)</f>
        <v>Electronics</v>
      </c>
      <c r="D61" s="2">
        <v>219</v>
      </c>
      <c r="E61" s="2">
        <v>41</v>
      </c>
      <c r="F61" s="2" t="str" cm="1">
        <f t="array" ref="F61">_xlfn.IFS(Table24[[#This Row],[QuantityInStock]]&lt;=Table24[[#This Row],[ReorderPoint]],"Low Stock",Table24[[#This Row],[QuantityInStock]]&gt;Table24[[#This Row],[ReorderPoint]],"Adequate Stock",Table24[[#This Row],[QuantityInStock]]=0,"Out Of Stock")</f>
        <v>Adequate Stock</v>
      </c>
      <c r="G61" s="2" t="s">
        <v>517</v>
      </c>
      <c r="H61" s="2" t="s">
        <v>521</v>
      </c>
      <c r="I61" s="2">
        <v>13</v>
      </c>
      <c r="J61" s="2" t="s">
        <v>524</v>
      </c>
      <c r="K61" s="2">
        <v>165.74</v>
      </c>
      <c r="L61" s="2">
        <f>Table24[[#This Row],[QuantityInStock]]*Table24[[#This Row],[UnitCost]]</f>
        <v>36297.060000000005</v>
      </c>
    </row>
    <row r="62" spans="1:12" x14ac:dyDescent="0.3">
      <c r="A62" s="2" t="s">
        <v>69</v>
      </c>
      <c r="B62" s="2" t="s">
        <v>510</v>
      </c>
      <c r="C62" s="2" t="str">
        <f>_xlfn.XLOOKUP(Table24[[#This Row],[ProductName]],Table4[Product name],Table4[Category],"Not Found",0)</f>
        <v>Electronics</v>
      </c>
      <c r="D62" s="2">
        <v>192</v>
      </c>
      <c r="E62" s="2">
        <v>73</v>
      </c>
      <c r="F62" s="2" t="str" cm="1">
        <f t="array" ref="F62">_xlfn.IFS(Table24[[#This Row],[QuantityInStock]]&lt;=Table24[[#This Row],[ReorderPoint]],"Low Stock",Table24[[#This Row],[QuantityInStock]]&gt;Table24[[#This Row],[ReorderPoint]],"Adequate Stock",Table24[[#This Row],[QuantityInStock]]=0,"Out Of Stock")</f>
        <v>Adequate Stock</v>
      </c>
      <c r="G62" s="2" t="s">
        <v>519</v>
      </c>
      <c r="H62" s="2" t="s">
        <v>523</v>
      </c>
      <c r="I62" s="2">
        <v>21</v>
      </c>
      <c r="J62" s="2" t="s">
        <v>528</v>
      </c>
      <c r="K62" s="2">
        <v>87.57</v>
      </c>
      <c r="L62" s="2">
        <f>Table24[[#This Row],[QuantityInStock]]*Table24[[#This Row],[UnitCost]]</f>
        <v>16813.439999999999</v>
      </c>
    </row>
    <row r="63" spans="1:12" x14ac:dyDescent="0.3">
      <c r="A63" s="2" t="s">
        <v>70</v>
      </c>
      <c r="B63" s="2" t="s">
        <v>510</v>
      </c>
      <c r="C63" s="2" t="str">
        <f>_xlfn.XLOOKUP(Table24[[#This Row],[ProductName]],Table4[Product name],Table4[Category],"Not Found",0)</f>
        <v>Electronics</v>
      </c>
      <c r="D63" s="2">
        <v>334</v>
      </c>
      <c r="E63" s="2">
        <v>76</v>
      </c>
      <c r="F63" s="2" t="str" cm="1">
        <f t="array" ref="F63">_xlfn.IFS(Table24[[#This Row],[QuantityInStock]]&lt;=Table24[[#This Row],[ReorderPoint]],"Low Stock",Table24[[#This Row],[QuantityInStock]]&gt;Table24[[#This Row],[ReorderPoint]],"Adequate Stock",Table24[[#This Row],[QuantityInStock]]=0,"Out Of Stock")</f>
        <v>Adequate Stock</v>
      </c>
      <c r="G63" s="2" t="s">
        <v>516</v>
      </c>
      <c r="H63" s="2" t="s">
        <v>520</v>
      </c>
      <c r="I63" s="2">
        <v>9</v>
      </c>
      <c r="J63" s="2" t="s">
        <v>525</v>
      </c>
      <c r="K63" s="2">
        <v>33.200000000000003</v>
      </c>
      <c r="L63" s="2">
        <f>Table24[[#This Row],[QuantityInStock]]*Table24[[#This Row],[UnitCost]]</f>
        <v>11088.800000000001</v>
      </c>
    </row>
    <row r="64" spans="1:12" x14ac:dyDescent="0.3">
      <c r="A64" s="2" t="s">
        <v>71</v>
      </c>
      <c r="B64" s="2" t="s">
        <v>515</v>
      </c>
      <c r="C64" s="2" t="str">
        <f>_xlfn.XLOOKUP(Table24[[#This Row],[ProductName]],Table4[Product name],Table4[Category],"Not Found",0)</f>
        <v>Electronics</v>
      </c>
      <c r="D64" s="2">
        <v>172</v>
      </c>
      <c r="E64" s="2">
        <v>74</v>
      </c>
      <c r="F64" s="2" t="str" cm="1">
        <f t="array" ref="F64">_xlfn.IFS(Table24[[#This Row],[QuantityInStock]]&lt;=Table24[[#This Row],[ReorderPoint]],"Low Stock",Table24[[#This Row],[QuantityInStock]]&gt;Table24[[#This Row],[ReorderPoint]],"Adequate Stock",Table24[[#This Row],[QuantityInStock]]=0,"Out Of Stock")</f>
        <v>Adequate Stock</v>
      </c>
      <c r="G64" s="2" t="s">
        <v>519</v>
      </c>
      <c r="H64" s="2" t="s">
        <v>523</v>
      </c>
      <c r="I64" s="2">
        <v>17</v>
      </c>
      <c r="J64" s="2" t="s">
        <v>527</v>
      </c>
      <c r="K64" s="2">
        <v>75.89</v>
      </c>
      <c r="L64" s="2">
        <f>Table24[[#This Row],[QuantityInStock]]*Table24[[#This Row],[UnitCost]]</f>
        <v>13053.08</v>
      </c>
    </row>
    <row r="65" spans="1:12" x14ac:dyDescent="0.3">
      <c r="A65" s="2" t="s">
        <v>72</v>
      </c>
      <c r="B65" s="2" t="s">
        <v>515</v>
      </c>
      <c r="C65" s="2" t="str">
        <f>_xlfn.XLOOKUP(Table24[[#This Row],[ProductName]],Table4[Product name],Table4[Category],"Not Found",0)</f>
        <v>Electronics</v>
      </c>
      <c r="D65" s="2">
        <v>237</v>
      </c>
      <c r="E65" s="2">
        <v>51</v>
      </c>
      <c r="F65" s="2" t="str" cm="1">
        <f t="array" ref="F65">_xlfn.IFS(Table24[[#This Row],[QuantityInStock]]&lt;=Table24[[#This Row],[ReorderPoint]],"Low Stock",Table24[[#This Row],[QuantityInStock]]&gt;Table24[[#This Row],[ReorderPoint]],"Adequate Stock",Table24[[#This Row],[QuantityInStock]]=0,"Out Of Stock")</f>
        <v>Adequate Stock</v>
      </c>
      <c r="G65" s="2" t="s">
        <v>517</v>
      </c>
      <c r="H65" s="2" t="s">
        <v>521</v>
      </c>
      <c r="I65" s="2">
        <v>5</v>
      </c>
      <c r="J65" s="2" t="s">
        <v>527</v>
      </c>
      <c r="K65" s="2">
        <v>155.84</v>
      </c>
      <c r="L65" s="2">
        <f>Table24[[#This Row],[QuantityInStock]]*Table24[[#This Row],[UnitCost]]</f>
        <v>36934.080000000002</v>
      </c>
    </row>
    <row r="66" spans="1:12" x14ac:dyDescent="0.3">
      <c r="A66" s="2" t="s">
        <v>73</v>
      </c>
      <c r="B66" s="2" t="s">
        <v>511</v>
      </c>
      <c r="C66" s="2" t="str">
        <f>_xlfn.XLOOKUP(Table24[[#This Row],[ProductName]],Table4[Product name],Table4[Category],"Not Found",0)</f>
        <v>Electronics</v>
      </c>
      <c r="D66" s="2">
        <v>284</v>
      </c>
      <c r="E66" s="2">
        <v>92</v>
      </c>
      <c r="F66" s="2" t="str" cm="1">
        <f t="array" ref="F66">_xlfn.IFS(Table24[[#This Row],[QuantityInStock]]&lt;=Table24[[#This Row],[ReorderPoint]],"Low Stock",Table24[[#This Row],[QuantityInStock]]&gt;Table24[[#This Row],[ReorderPoint]],"Adequate Stock",Table24[[#This Row],[QuantityInStock]]=0,"Out Of Stock")</f>
        <v>Adequate Stock</v>
      </c>
      <c r="G66" s="2" t="s">
        <v>517</v>
      </c>
      <c r="H66" s="2" t="s">
        <v>521</v>
      </c>
      <c r="I66" s="2">
        <v>21</v>
      </c>
      <c r="J66" s="2" t="s">
        <v>524</v>
      </c>
      <c r="K66" s="2">
        <v>175.11</v>
      </c>
      <c r="L66" s="2">
        <f>Table24[[#This Row],[QuantityInStock]]*Table24[[#This Row],[UnitCost]]</f>
        <v>49731.240000000005</v>
      </c>
    </row>
    <row r="67" spans="1:12" x14ac:dyDescent="0.3">
      <c r="A67" s="2" t="s">
        <v>74</v>
      </c>
      <c r="B67" s="2" t="s">
        <v>512</v>
      </c>
      <c r="C67" s="2" t="str">
        <f>_xlfn.XLOOKUP(Table24[[#This Row],[ProductName]],Table4[Product name],Table4[Category],"Not Found",0)</f>
        <v>Furniture</v>
      </c>
      <c r="D67" s="2">
        <v>320</v>
      </c>
      <c r="E67" s="2">
        <v>63</v>
      </c>
      <c r="F67" s="2" t="str" cm="1">
        <f t="array" ref="F67">_xlfn.IFS(Table24[[#This Row],[QuantityInStock]]&lt;=Table24[[#This Row],[ReorderPoint]],"Low Stock",Table24[[#This Row],[QuantityInStock]]&gt;Table24[[#This Row],[ReorderPoint]],"Adequate Stock",Table24[[#This Row],[QuantityInStock]]=0,"Out Of Stock")</f>
        <v>Adequate Stock</v>
      </c>
      <c r="G67" s="2" t="s">
        <v>519</v>
      </c>
      <c r="H67" s="2" t="s">
        <v>523</v>
      </c>
      <c r="I67" s="2">
        <v>5</v>
      </c>
      <c r="J67" s="2" t="s">
        <v>528</v>
      </c>
      <c r="K67" s="2">
        <v>15.35</v>
      </c>
      <c r="L67" s="2">
        <f>Table24[[#This Row],[QuantityInStock]]*Table24[[#This Row],[UnitCost]]</f>
        <v>4912</v>
      </c>
    </row>
    <row r="68" spans="1:12" x14ac:dyDescent="0.3">
      <c r="A68" s="2" t="s">
        <v>75</v>
      </c>
      <c r="B68" s="2" t="s">
        <v>512</v>
      </c>
      <c r="C68" s="2" t="str">
        <f>_xlfn.XLOOKUP(Table24[[#This Row],[ProductName]],Table4[Product name],Table4[Category],"Not Found",0)</f>
        <v>Furniture</v>
      </c>
      <c r="D68" s="2">
        <v>247</v>
      </c>
      <c r="E68" s="2">
        <v>77</v>
      </c>
      <c r="F68" s="2" t="str" cm="1">
        <f t="array" ref="F68">_xlfn.IFS(Table24[[#This Row],[QuantityInStock]]&lt;=Table24[[#This Row],[ReorderPoint]],"Low Stock",Table24[[#This Row],[QuantityInStock]]&gt;Table24[[#This Row],[ReorderPoint]],"Adequate Stock",Table24[[#This Row],[QuantityInStock]]=0,"Out Of Stock")</f>
        <v>Adequate Stock</v>
      </c>
      <c r="G68" s="2" t="s">
        <v>516</v>
      </c>
      <c r="H68" s="2" t="s">
        <v>520</v>
      </c>
      <c r="I68" s="2">
        <v>6</v>
      </c>
      <c r="J68" s="2" t="s">
        <v>526</v>
      </c>
      <c r="K68" s="2">
        <v>181.66</v>
      </c>
      <c r="L68" s="2">
        <f>Table24[[#This Row],[QuantityInStock]]*Table24[[#This Row],[UnitCost]]</f>
        <v>44870.02</v>
      </c>
    </row>
    <row r="69" spans="1:12" x14ac:dyDescent="0.3">
      <c r="A69" s="2" t="s">
        <v>76</v>
      </c>
      <c r="B69" s="2" t="s">
        <v>510</v>
      </c>
      <c r="C69" s="2" t="str">
        <f>_xlfn.XLOOKUP(Table24[[#This Row],[ProductName]],Table4[Product name],Table4[Category],"Not Found",0)</f>
        <v>Electronics</v>
      </c>
      <c r="D69" s="2">
        <v>102</v>
      </c>
      <c r="E69" s="2">
        <v>64</v>
      </c>
      <c r="F69" s="2" t="str" cm="1">
        <f t="array" ref="F69">_xlfn.IFS(Table24[[#This Row],[QuantityInStock]]&lt;=Table24[[#This Row],[ReorderPoint]],"Low Stock",Table24[[#This Row],[QuantityInStock]]&gt;Table24[[#This Row],[ReorderPoint]],"Adequate Stock",Table24[[#This Row],[QuantityInStock]]=0,"Out Of Stock")</f>
        <v>Adequate Stock</v>
      </c>
      <c r="G69" s="2" t="s">
        <v>517</v>
      </c>
      <c r="H69" s="2" t="s">
        <v>521</v>
      </c>
      <c r="I69" s="2">
        <v>16</v>
      </c>
      <c r="J69" s="2" t="s">
        <v>527</v>
      </c>
      <c r="K69" s="2">
        <v>41.27</v>
      </c>
      <c r="L69" s="2">
        <f>Table24[[#This Row],[QuantityInStock]]*Table24[[#This Row],[UnitCost]]</f>
        <v>4209.54</v>
      </c>
    </row>
    <row r="70" spans="1:12" x14ac:dyDescent="0.3">
      <c r="A70" s="2" t="s">
        <v>77</v>
      </c>
      <c r="B70" s="2" t="s">
        <v>514</v>
      </c>
      <c r="C70" s="2" t="str">
        <f>_xlfn.XLOOKUP(Table24[[#This Row],[ProductName]],Table4[Product name],Table4[Category],"Not Found",0)</f>
        <v>Furniture</v>
      </c>
      <c r="D70" s="2">
        <v>437</v>
      </c>
      <c r="E70" s="2">
        <v>89</v>
      </c>
      <c r="F70" s="2" t="str" cm="1">
        <f t="array" ref="F70">_xlfn.IFS(Table24[[#This Row],[QuantityInStock]]&lt;=Table24[[#This Row],[ReorderPoint]],"Low Stock",Table24[[#This Row],[QuantityInStock]]&gt;Table24[[#This Row],[ReorderPoint]],"Adequate Stock",Table24[[#This Row],[QuantityInStock]]=0,"Out Of Stock")</f>
        <v>Adequate Stock</v>
      </c>
      <c r="G70" s="2" t="s">
        <v>518</v>
      </c>
      <c r="H70" s="2" t="s">
        <v>522</v>
      </c>
      <c r="I70" s="2">
        <v>18</v>
      </c>
      <c r="J70" s="2" t="s">
        <v>525</v>
      </c>
      <c r="K70" s="2">
        <v>76.069999999999993</v>
      </c>
      <c r="L70" s="2">
        <f>Table24[[#This Row],[QuantityInStock]]*Table24[[#This Row],[UnitCost]]</f>
        <v>33242.589999999997</v>
      </c>
    </row>
    <row r="71" spans="1:12" x14ac:dyDescent="0.3">
      <c r="A71" s="2" t="s">
        <v>78</v>
      </c>
      <c r="B71" s="2" t="s">
        <v>515</v>
      </c>
      <c r="C71" s="2" t="str">
        <f>_xlfn.XLOOKUP(Table24[[#This Row],[ProductName]],Table4[Product name],Table4[Category],"Not Found",0)</f>
        <v>Electronics</v>
      </c>
      <c r="D71" s="2">
        <v>336</v>
      </c>
      <c r="E71" s="2">
        <v>25</v>
      </c>
      <c r="F71" s="2" t="str" cm="1">
        <f t="array" ref="F71">_xlfn.IFS(Table24[[#This Row],[QuantityInStock]]&lt;=Table24[[#This Row],[ReorderPoint]],"Low Stock",Table24[[#This Row],[QuantityInStock]]&gt;Table24[[#This Row],[ReorderPoint]],"Adequate Stock",Table24[[#This Row],[QuantityInStock]]=0,"Out Of Stock")</f>
        <v>Adequate Stock</v>
      </c>
      <c r="G71" s="2" t="s">
        <v>517</v>
      </c>
      <c r="H71" s="2" t="s">
        <v>521</v>
      </c>
      <c r="I71" s="2">
        <v>11</v>
      </c>
      <c r="J71" s="2" t="s">
        <v>526</v>
      </c>
      <c r="K71" s="2">
        <v>177.48</v>
      </c>
      <c r="L71" s="2">
        <f>Table24[[#This Row],[QuantityInStock]]*Table24[[#This Row],[UnitCost]]</f>
        <v>59633.279999999999</v>
      </c>
    </row>
    <row r="72" spans="1:12" x14ac:dyDescent="0.3">
      <c r="A72" s="2" t="s">
        <v>79</v>
      </c>
      <c r="B72" s="2" t="s">
        <v>514</v>
      </c>
      <c r="C72" s="2" t="str">
        <f>_xlfn.XLOOKUP(Table24[[#This Row],[ProductName]],Table4[Product name],Table4[Category],"Not Found",0)</f>
        <v>Furniture</v>
      </c>
      <c r="D72" s="2">
        <v>406</v>
      </c>
      <c r="E72" s="2">
        <v>57</v>
      </c>
      <c r="F72" s="2" t="str" cm="1">
        <f t="array" ref="F72">_xlfn.IFS(Table24[[#This Row],[QuantityInStock]]&lt;=Table24[[#This Row],[ReorderPoint]],"Low Stock",Table24[[#This Row],[QuantityInStock]]&gt;Table24[[#This Row],[ReorderPoint]],"Adequate Stock",Table24[[#This Row],[QuantityInStock]]=0,"Out Of Stock")</f>
        <v>Adequate Stock</v>
      </c>
      <c r="G72" s="2" t="s">
        <v>518</v>
      </c>
      <c r="H72" s="2" t="s">
        <v>522</v>
      </c>
      <c r="I72" s="2">
        <v>15</v>
      </c>
      <c r="J72" s="2" t="s">
        <v>527</v>
      </c>
      <c r="K72" s="2">
        <v>119.65</v>
      </c>
      <c r="L72" s="2">
        <f>Table24[[#This Row],[QuantityInStock]]*Table24[[#This Row],[UnitCost]]</f>
        <v>48577.9</v>
      </c>
    </row>
    <row r="73" spans="1:12" x14ac:dyDescent="0.3">
      <c r="A73" s="2" t="s">
        <v>80</v>
      </c>
      <c r="B73" s="2" t="s">
        <v>511</v>
      </c>
      <c r="C73" s="2" t="str">
        <f>_xlfn.XLOOKUP(Table24[[#This Row],[ProductName]],Table4[Product name],Table4[Category],"Not Found",0)</f>
        <v>Electronics</v>
      </c>
      <c r="D73" s="2">
        <v>214</v>
      </c>
      <c r="E73" s="2">
        <v>91</v>
      </c>
      <c r="F73" s="2" t="str" cm="1">
        <f t="array" ref="F73">_xlfn.IFS(Table24[[#This Row],[QuantityInStock]]&lt;=Table24[[#This Row],[ReorderPoint]],"Low Stock",Table24[[#This Row],[QuantityInStock]]&gt;Table24[[#This Row],[ReorderPoint]],"Adequate Stock",Table24[[#This Row],[QuantityInStock]]=0,"Out Of Stock")</f>
        <v>Adequate Stock</v>
      </c>
      <c r="G73" s="2" t="s">
        <v>519</v>
      </c>
      <c r="H73" s="2" t="s">
        <v>523</v>
      </c>
      <c r="I73" s="2">
        <v>9</v>
      </c>
      <c r="J73" s="2" t="s">
        <v>528</v>
      </c>
      <c r="K73" s="2">
        <v>95.8</v>
      </c>
      <c r="L73" s="2">
        <f>Table24[[#This Row],[QuantityInStock]]*Table24[[#This Row],[UnitCost]]</f>
        <v>20501.2</v>
      </c>
    </row>
    <row r="74" spans="1:12" x14ac:dyDescent="0.3">
      <c r="A74" s="2" t="s">
        <v>81</v>
      </c>
      <c r="B74" s="2" t="s">
        <v>514</v>
      </c>
      <c r="C74" s="2" t="str">
        <f>_xlfn.XLOOKUP(Table24[[#This Row],[ProductName]],Table4[Product name],Table4[Category],"Not Found",0)</f>
        <v>Furniture</v>
      </c>
      <c r="D74" s="2">
        <v>108</v>
      </c>
      <c r="E74" s="2">
        <v>56</v>
      </c>
      <c r="F74" s="2" t="str" cm="1">
        <f t="array" ref="F74">_xlfn.IFS(Table24[[#This Row],[QuantityInStock]]&lt;=Table24[[#This Row],[ReorderPoint]],"Low Stock",Table24[[#This Row],[QuantityInStock]]&gt;Table24[[#This Row],[ReorderPoint]],"Adequate Stock",Table24[[#This Row],[QuantityInStock]]=0,"Out Of Stock")</f>
        <v>Adequate Stock</v>
      </c>
      <c r="G74" s="2" t="s">
        <v>519</v>
      </c>
      <c r="H74" s="2" t="s">
        <v>523</v>
      </c>
      <c r="I74" s="2">
        <v>18</v>
      </c>
      <c r="J74" s="2" t="s">
        <v>524</v>
      </c>
      <c r="K74" s="2">
        <v>130.58000000000001</v>
      </c>
      <c r="L74" s="2">
        <f>Table24[[#This Row],[QuantityInStock]]*Table24[[#This Row],[UnitCost]]</f>
        <v>14102.640000000001</v>
      </c>
    </row>
    <row r="75" spans="1:12" x14ac:dyDescent="0.3">
      <c r="A75" s="2" t="s">
        <v>82</v>
      </c>
      <c r="B75" s="2" t="s">
        <v>509</v>
      </c>
      <c r="C75" s="2" t="str">
        <f>_xlfn.XLOOKUP(Table24[[#This Row],[ProductName]],Table4[Product name],Table4[Category],"Not Found",0)</f>
        <v>Electronics</v>
      </c>
      <c r="D75" s="2">
        <v>48</v>
      </c>
      <c r="E75" s="2">
        <v>84</v>
      </c>
      <c r="F75" s="2" t="str" cm="1">
        <f t="array" ref="F75">_xlfn.IFS(Table24[[#This Row],[QuantityInStock]]&lt;=Table24[[#This Row],[ReorderPoint]],"Low Stock",Table24[[#This Row],[QuantityInStock]]&gt;Table24[[#This Row],[ReorderPoint]],"Adequate Stock",Table24[[#This Row],[QuantityInStock]]=0,"Out Of Stock")</f>
        <v>Low Stock</v>
      </c>
      <c r="G75" s="2" t="s">
        <v>519</v>
      </c>
      <c r="H75" s="2" t="s">
        <v>523</v>
      </c>
      <c r="I75" s="2">
        <v>18</v>
      </c>
      <c r="J75" s="2" t="s">
        <v>525</v>
      </c>
      <c r="K75" s="2">
        <v>93.7</v>
      </c>
      <c r="L75" s="2">
        <f>Table24[[#This Row],[QuantityInStock]]*Table24[[#This Row],[UnitCost]]</f>
        <v>4497.6000000000004</v>
      </c>
    </row>
    <row r="76" spans="1:12" x14ac:dyDescent="0.3">
      <c r="A76" s="2" t="s">
        <v>83</v>
      </c>
      <c r="B76" s="2" t="s">
        <v>513</v>
      </c>
      <c r="C76" s="2" t="str">
        <f>_xlfn.XLOOKUP(Table24[[#This Row],[ProductName]],Table4[Product name],Table4[Category],"Not Found",0)</f>
        <v>Electronics</v>
      </c>
      <c r="D76" s="2">
        <v>182</v>
      </c>
      <c r="E76" s="2">
        <v>77</v>
      </c>
      <c r="F76" s="2" t="str" cm="1">
        <f t="array" ref="F76">_xlfn.IFS(Table24[[#This Row],[QuantityInStock]]&lt;=Table24[[#This Row],[ReorderPoint]],"Low Stock",Table24[[#This Row],[QuantityInStock]]&gt;Table24[[#This Row],[ReorderPoint]],"Adequate Stock",Table24[[#This Row],[QuantityInStock]]=0,"Out Of Stock")</f>
        <v>Adequate Stock</v>
      </c>
      <c r="G76" s="2" t="s">
        <v>517</v>
      </c>
      <c r="H76" s="2" t="s">
        <v>521</v>
      </c>
      <c r="I76" s="2">
        <v>6</v>
      </c>
      <c r="J76" s="2" t="s">
        <v>527</v>
      </c>
      <c r="K76" s="2">
        <v>61.7</v>
      </c>
      <c r="L76" s="2">
        <f>Table24[[#This Row],[QuantityInStock]]*Table24[[#This Row],[UnitCost]]</f>
        <v>11229.4</v>
      </c>
    </row>
    <row r="77" spans="1:12" x14ac:dyDescent="0.3">
      <c r="A77" s="2" t="s">
        <v>84</v>
      </c>
      <c r="B77" s="2" t="s">
        <v>513</v>
      </c>
      <c r="C77" s="2" t="str">
        <f>_xlfn.XLOOKUP(Table24[[#This Row],[ProductName]],Table4[Product name],Table4[Category],"Not Found",0)</f>
        <v>Electronics</v>
      </c>
      <c r="D77" s="2">
        <v>114</v>
      </c>
      <c r="E77" s="2">
        <v>49</v>
      </c>
      <c r="F77" s="2" t="str" cm="1">
        <f t="array" ref="F77">_xlfn.IFS(Table24[[#This Row],[QuantityInStock]]&lt;=Table24[[#This Row],[ReorderPoint]],"Low Stock",Table24[[#This Row],[QuantityInStock]]&gt;Table24[[#This Row],[ReorderPoint]],"Adequate Stock",Table24[[#This Row],[QuantityInStock]]=0,"Out Of Stock")</f>
        <v>Adequate Stock</v>
      </c>
      <c r="G77" s="2" t="s">
        <v>517</v>
      </c>
      <c r="H77" s="2" t="s">
        <v>521</v>
      </c>
      <c r="I77" s="2">
        <v>5</v>
      </c>
      <c r="J77" s="2" t="s">
        <v>525</v>
      </c>
      <c r="K77" s="2">
        <v>121.15</v>
      </c>
      <c r="L77" s="2">
        <f>Table24[[#This Row],[QuantityInStock]]*Table24[[#This Row],[UnitCost]]</f>
        <v>13811.1</v>
      </c>
    </row>
    <row r="78" spans="1:12" x14ac:dyDescent="0.3">
      <c r="A78" s="2" t="s">
        <v>85</v>
      </c>
      <c r="B78" s="2" t="s">
        <v>512</v>
      </c>
      <c r="C78" s="2" t="str">
        <f>_xlfn.XLOOKUP(Table24[[#This Row],[ProductName]],Table4[Product name],Table4[Category],"Not Found",0)</f>
        <v>Furniture</v>
      </c>
      <c r="D78" s="2">
        <v>432</v>
      </c>
      <c r="E78" s="2">
        <v>62</v>
      </c>
      <c r="F78" s="2" t="str" cm="1">
        <f t="array" ref="F78">_xlfn.IFS(Table24[[#This Row],[QuantityInStock]]&lt;=Table24[[#This Row],[ReorderPoint]],"Low Stock",Table24[[#This Row],[QuantityInStock]]&gt;Table24[[#This Row],[ReorderPoint]],"Adequate Stock",Table24[[#This Row],[QuantityInStock]]=0,"Out Of Stock")</f>
        <v>Adequate Stock</v>
      </c>
      <c r="G78" s="2" t="s">
        <v>518</v>
      </c>
      <c r="H78" s="2" t="s">
        <v>522</v>
      </c>
      <c r="I78" s="2">
        <v>13</v>
      </c>
      <c r="J78" s="2" t="s">
        <v>528</v>
      </c>
      <c r="K78" s="2">
        <v>75.58</v>
      </c>
      <c r="L78" s="2">
        <f>Table24[[#This Row],[QuantityInStock]]*Table24[[#This Row],[UnitCost]]</f>
        <v>32650.559999999998</v>
      </c>
    </row>
    <row r="79" spans="1:12" x14ac:dyDescent="0.3">
      <c r="A79" s="2" t="s">
        <v>86</v>
      </c>
      <c r="B79" s="2" t="s">
        <v>515</v>
      </c>
      <c r="C79" s="2" t="str">
        <f>_xlfn.XLOOKUP(Table24[[#This Row],[ProductName]],Table4[Product name],Table4[Category],"Not Found",0)</f>
        <v>Electronics</v>
      </c>
      <c r="D79" s="2">
        <v>412</v>
      </c>
      <c r="E79" s="2">
        <v>79</v>
      </c>
      <c r="F79" s="2" t="str" cm="1">
        <f t="array" ref="F79">_xlfn.IFS(Table24[[#This Row],[QuantityInStock]]&lt;=Table24[[#This Row],[ReorderPoint]],"Low Stock",Table24[[#This Row],[QuantityInStock]]&gt;Table24[[#This Row],[ReorderPoint]],"Adequate Stock",Table24[[#This Row],[QuantityInStock]]=0,"Out Of Stock")</f>
        <v>Adequate Stock</v>
      </c>
      <c r="G79" s="2" t="s">
        <v>517</v>
      </c>
      <c r="H79" s="2" t="s">
        <v>521</v>
      </c>
      <c r="I79" s="2">
        <v>6</v>
      </c>
      <c r="J79" s="2" t="s">
        <v>528</v>
      </c>
      <c r="K79" s="2">
        <v>166.89</v>
      </c>
      <c r="L79" s="2">
        <f>Table24[[#This Row],[QuantityInStock]]*Table24[[#This Row],[UnitCost]]</f>
        <v>68758.679999999993</v>
      </c>
    </row>
    <row r="80" spans="1:12" x14ac:dyDescent="0.3">
      <c r="A80" s="2" t="s">
        <v>87</v>
      </c>
      <c r="B80" s="2" t="s">
        <v>514</v>
      </c>
      <c r="C80" s="2" t="str">
        <f>_xlfn.XLOOKUP(Table24[[#This Row],[ProductName]],Table4[Product name],Table4[Category],"Not Found",0)</f>
        <v>Furniture</v>
      </c>
      <c r="D80" s="2">
        <v>47</v>
      </c>
      <c r="E80" s="2">
        <v>52</v>
      </c>
      <c r="F80" s="2" t="str" cm="1">
        <f t="array" ref="F80">_xlfn.IFS(Table24[[#This Row],[QuantityInStock]]&lt;=Table24[[#This Row],[ReorderPoint]],"Low Stock",Table24[[#This Row],[QuantityInStock]]&gt;Table24[[#This Row],[ReorderPoint]],"Adequate Stock",Table24[[#This Row],[QuantityInStock]]=0,"Out Of Stock")</f>
        <v>Low Stock</v>
      </c>
      <c r="G80" s="2" t="s">
        <v>517</v>
      </c>
      <c r="H80" s="2" t="s">
        <v>521</v>
      </c>
      <c r="I80" s="2">
        <v>19</v>
      </c>
      <c r="J80" s="2" t="s">
        <v>528</v>
      </c>
      <c r="K80" s="2">
        <v>153.72999999999999</v>
      </c>
      <c r="L80" s="2">
        <f>Table24[[#This Row],[QuantityInStock]]*Table24[[#This Row],[UnitCost]]</f>
        <v>7225.3099999999995</v>
      </c>
    </row>
    <row r="81" spans="1:12" x14ac:dyDescent="0.3">
      <c r="A81" s="2" t="s">
        <v>88</v>
      </c>
      <c r="B81" s="2" t="s">
        <v>513</v>
      </c>
      <c r="C81" s="2" t="str">
        <f>_xlfn.XLOOKUP(Table24[[#This Row],[ProductName]],Table4[Product name],Table4[Category],"Not Found",0)</f>
        <v>Electronics</v>
      </c>
      <c r="D81" s="2">
        <v>354</v>
      </c>
      <c r="E81" s="2">
        <v>59</v>
      </c>
      <c r="F81" s="2" t="str" cm="1">
        <f t="array" ref="F81">_xlfn.IFS(Table24[[#This Row],[QuantityInStock]]&lt;=Table24[[#This Row],[ReorderPoint]],"Low Stock",Table24[[#This Row],[QuantityInStock]]&gt;Table24[[#This Row],[ReorderPoint]],"Adequate Stock",Table24[[#This Row],[QuantityInStock]]=0,"Out Of Stock")</f>
        <v>Adequate Stock</v>
      </c>
      <c r="G81" s="2" t="s">
        <v>518</v>
      </c>
      <c r="H81" s="2" t="s">
        <v>522</v>
      </c>
      <c r="I81" s="2">
        <v>6</v>
      </c>
      <c r="J81" s="2" t="s">
        <v>525</v>
      </c>
      <c r="K81" s="2">
        <v>179.44</v>
      </c>
      <c r="L81" s="2">
        <f>Table24[[#This Row],[QuantityInStock]]*Table24[[#This Row],[UnitCost]]</f>
        <v>63521.760000000002</v>
      </c>
    </row>
    <row r="82" spans="1:12" x14ac:dyDescent="0.3">
      <c r="A82" s="2" t="s">
        <v>89</v>
      </c>
      <c r="B82" s="2" t="s">
        <v>509</v>
      </c>
      <c r="C82" s="2" t="str">
        <f>_xlfn.XLOOKUP(Table24[[#This Row],[ProductName]],Table4[Product name],Table4[Category],"Not Found",0)</f>
        <v>Electronics</v>
      </c>
      <c r="D82" s="2">
        <v>197</v>
      </c>
      <c r="E82" s="2">
        <v>67</v>
      </c>
      <c r="F82" s="2" t="str" cm="1">
        <f t="array" ref="F82">_xlfn.IFS(Table24[[#This Row],[QuantityInStock]]&lt;=Table24[[#This Row],[ReorderPoint]],"Low Stock",Table24[[#This Row],[QuantityInStock]]&gt;Table24[[#This Row],[ReorderPoint]],"Adequate Stock",Table24[[#This Row],[QuantityInStock]]=0,"Out Of Stock")</f>
        <v>Adequate Stock</v>
      </c>
      <c r="G82" s="2" t="s">
        <v>517</v>
      </c>
      <c r="H82" s="2" t="s">
        <v>521</v>
      </c>
      <c r="I82" s="2">
        <v>19</v>
      </c>
      <c r="J82" s="2" t="s">
        <v>525</v>
      </c>
      <c r="K82" s="2">
        <v>51.97</v>
      </c>
      <c r="L82" s="2">
        <f>Table24[[#This Row],[QuantityInStock]]*Table24[[#This Row],[UnitCost]]</f>
        <v>10238.09</v>
      </c>
    </row>
    <row r="83" spans="1:12" x14ac:dyDescent="0.3">
      <c r="A83" s="2" t="s">
        <v>90</v>
      </c>
      <c r="B83" s="2" t="s">
        <v>509</v>
      </c>
      <c r="C83" s="2" t="str">
        <f>_xlfn.XLOOKUP(Table24[[#This Row],[ProductName]],Table4[Product name],Table4[Category],"Not Found",0)</f>
        <v>Electronics</v>
      </c>
      <c r="D83" s="2">
        <v>472</v>
      </c>
      <c r="E83" s="2">
        <v>36</v>
      </c>
      <c r="F83" s="2" t="str" cm="1">
        <f t="array" ref="F83">_xlfn.IFS(Table24[[#This Row],[QuantityInStock]]&lt;=Table24[[#This Row],[ReorderPoint]],"Low Stock",Table24[[#This Row],[QuantityInStock]]&gt;Table24[[#This Row],[ReorderPoint]],"Adequate Stock",Table24[[#This Row],[QuantityInStock]]=0,"Out Of Stock")</f>
        <v>Adequate Stock</v>
      </c>
      <c r="G83" s="2" t="s">
        <v>519</v>
      </c>
      <c r="H83" s="2" t="s">
        <v>523</v>
      </c>
      <c r="I83" s="2">
        <v>18</v>
      </c>
      <c r="J83" s="2" t="s">
        <v>526</v>
      </c>
      <c r="K83" s="2">
        <v>30.38</v>
      </c>
      <c r="L83" s="2">
        <f>Table24[[#This Row],[QuantityInStock]]*Table24[[#This Row],[UnitCost]]</f>
        <v>14339.359999999999</v>
      </c>
    </row>
    <row r="84" spans="1:12" x14ac:dyDescent="0.3">
      <c r="A84" s="2" t="s">
        <v>91</v>
      </c>
      <c r="B84" s="2" t="s">
        <v>515</v>
      </c>
      <c r="C84" s="2" t="str">
        <f>_xlfn.XLOOKUP(Table24[[#This Row],[ProductName]],Table4[Product name],Table4[Category],"Not Found",0)</f>
        <v>Electronics</v>
      </c>
      <c r="D84" s="2">
        <v>346</v>
      </c>
      <c r="E84" s="2">
        <v>97</v>
      </c>
      <c r="F84" s="2" t="str" cm="1">
        <f t="array" ref="F84">_xlfn.IFS(Table24[[#This Row],[QuantityInStock]]&lt;=Table24[[#This Row],[ReorderPoint]],"Low Stock",Table24[[#This Row],[QuantityInStock]]&gt;Table24[[#This Row],[ReorderPoint]],"Adequate Stock",Table24[[#This Row],[QuantityInStock]]=0,"Out Of Stock")</f>
        <v>Adequate Stock</v>
      </c>
      <c r="G84" s="2" t="s">
        <v>518</v>
      </c>
      <c r="H84" s="2" t="s">
        <v>522</v>
      </c>
      <c r="I84" s="2">
        <v>11</v>
      </c>
      <c r="J84" s="2" t="s">
        <v>525</v>
      </c>
      <c r="K84" s="2">
        <v>189.29</v>
      </c>
      <c r="L84" s="2">
        <f>Table24[[#This Row],[QuantityInStock]]*Table24[[#This Row],[UnitCost]]</f>
        <v>65494.34</v>
      </c>
    </row>
    <row r="85" spans="1:12" x14ac:dyDescent="0.3">
      <c r="A85" s="2" t="s">
        <v>92</v>
      </c>
      <c r="B85" s="2" t="s">
        <v>509</v>
      </c>
      <c r="C85" s="2" t="str">
        <f>_xlfn.XLOOKUP(Table24[[#This Row],[ProductName]],Table4[Product name],Table4[Category],"Not Found",0)</f>
        <v>Electronics</v>
      </c>
      <c r="D85" s="2">
        <v>280</v>
      </c>
      <c r="E85" s="2">
        <v>77</v>
      </c>
      <c r="F85" s="2" t="str" cm="1">
        <f t="array" ref="F85">_xlfn.IFS(Table24[[#This Row],[QuantityInStock]]&lt;=Table24[[#This Row],[ReorderPoint]],"Low Stock",Table24[[#This Row],[QuantityInStock]]&gt;Table24[[#This Row],[ReorderPoint]],"Adequate Stock",Table24[[#This Row],[QuantityInStock]]=0,"Out Of Stock")</f>
        <v>Adequate Stock</v>
      </c>
      <c r="G85" s="2" t="s">
        <v>516</v>
      </c>
      <c r="H85" s="2" t="s">
        <v>520</v>
      </c>
      <c r="I85" s="2">
        <v>11</v>
      </c>
      <c r="J85" s="2" t="s">
        <v>524</v>
      </c>
      <c r="K85" s="2">
        <v>143.97999999999999</v>
      </c>
      <c r="L85" s="2">
        <f>Table24[[#This Row],[QuantityInStock]]*Table24[[#This Row],[UnitCost]]</f>
        <v>40314.399999999994</v>
      </c>
    </row>
    <row r="86" spans="1:12" x14ac:dyDescent="0.3">
      <c r="A86" s="2" t="s">
        <v>93</v>
      </c>
      <c r="B86" s="2" t="s">
        <v>513</v>
      </c>
      <c r="C86" s="2" t="str">
        <f>_xlfn.XLOOKUP(Table24[[#This Row],[ProductName]],Table4[Product name],Table4[Category],"Not Found",0)</f>
        <v>Electronics</v>
      </c>
      <c r="D86" s="2">
        <v>89</v>
      </c>
      <c r="E86" s="2">
        <v>66</v>
      </c>
      <c r="F86" s="2" t="str" cm="1">
        <f t="array" ref="F86">_xlfn.IFS(Table24[[#This Row],[QuantityInStock]]&lt;=Table24[[#This Row],[ReorderPoint]],"Low Stock",Table24[[#This Row],[QuantityInStock]]&gt;Table24[[#This Row],[ReorderPoint]],"Adequate Stock",Table24[[#This Row],[QuantityInStock]]=0,"Out Of Stock")</f>
        <v>Adequate Stock</v>
      </c>
      <c r="G86" s="2" t="s">
        <v>519</v>
      </c>
      <c r="H86" s="2" t="s">
        <v>523</v>
      </c>
      <c r="I86" s="2">
        <v>21</v>
      </c>
      <c r="J86" s="2" t="s">
        <v>525</v>
      </c>
      <c r="K86" s="2">
        <v>128.13999999999999</v>
      </c>
      <c r="L86" s="2">
        <f>Table24[[#This Row],[QuantityInStock]]*Table24[[#This Row],[UnitCost]]</f>
        <v>11404.46</v>
      </c>
    </row>
    <row r="87" spans="1:12" x14ac:dyDescent="0.3">
      <c r="A87" s="2" t="s">
        <v>94</v>
      </c>
      <c r="B87" s="2" t="s">
        <v>513</v>
      </c>
      <c r="C87" s="2" t="str">
        <f>_xlfn.XLOOKUP(Table24[[#This Row],[ProductName]],Table4[Product name],Table4[Category],"Not Found",0)</f>
        <v>Electronics</v>
      </c>
      <c r="D87" s="2">
        <v>196</v>
      </c>
      <c r="E87" s="2">
        <v>33</v>
      </c>
      <c r="F87" s="2" t="str" cm="1">
        <f t="array" ref="F87">_xlfn.IFS(Table24[[#This Row],[QuantityInStock]]&lt;=Table24[[#This Row],[ReorderPoint]],"Low Stock",Table24[[#This Row],[QuantityInStock]]&gt;Table24[[#This Row],[ReorderPoint]],"Adequate Stock",Table24[[#This Row],[QuantityInStock]]=0,"Out Of Stock")</f>
        <v>Adequate Stock</v>
      </c>
      <c r="G87" s="2" t="s">
        <v>518</v>
      </c>
      <c r="H87" s="2" t="s">
        <v>522</v>
      </c>
      <c r="I87" s="2">
        <v>20</v>
      </c>
      <c r="J87" s="2" t="s">
        <v>527</v>
      </c>
      <c r="K87" s="2">
        <v>154.85</v>
      </c>
      <c r="L87" s="2">
        <f>Table24[[#This Row],[QuantityInStock]]*Table24[[#This Row],[UnitCost]]</f>
        <v>30350.6</v>
      </c>
    </row>
    <row r="88" spans="1:12" x14ac:dyDescent="0.3">
      <c r="A88" s="2" t="s">
        <v>95</v>
      </c>
      <c r="B88" s="2" t="s">
        <v>510</v>
      </c>
      <c r="C88" s="2" t="str">
        <f>_xlfn.XLOOKUP(Table24[[#This Row],[ProductName]],Table4[Product name],Table4[Category],"Not Found",0)</f>
        <v>Electronics</v>
      </c>
      <c r="D88" s="2">
        <v>384</v>
      </c>
      <c r="E88" s="2">
        <v>28</v>
      </c>
      <c r="F88" s="2" t="str" cm="1">
        <f t="array" ref="F88">_xlfn.IFS(Table24[[#This Row],[QuantityInStock]]&lt;=Table24[[#This Row],[ReorderPoint]],"Low Stock",Table24[[#This Row],[QuantityInStock]]&gt;Table24[[#This Row],[ReorderPoint]],"Adequate Stock",Table24[[#This Row],[QuantityInStock]]=0,"Out Of Stock")</f>
        <v>Adequate Stock</v>
      </c>
      <c r="G88" s="2" t="s">
        <v>518</v>
      </c>
      <c r="H88" s="2" t="s">
        <v>522</v>
      </c>
      <c r="I88" s="2">
        <v>8</v>
      </c>
      <c r="J88" s="2" t="s">
        <v>526</v>
      </c>
      <c r="K88" s="2">
        <v>90.79</v>
      </c>
      <c r="L88" s="2">
        <f>Table24[[#This Row],[QuantityInStock]]*Table24[[#This Row],[UnitCost]]</f>
        <v>34863.360000000001</v>
      </c>
    </row>
    <row r="89" spans="1:12" x14ac:dyDescent="0.3">
      <c r="A89" s="2" t="s">
        <v>96</v>
      </c>
      <c r="B89" s="2" t="s">
        <v>513</v>
      </c>
      <c r="C89" s="2" t="str">
        <f>_xlfn.XLOOKUP(Table24[[#This Row],[ProductName]],Table4[Product name],Table4[Category],"Not Found",0)</f>
        <v>Electronics</v>
      </c>
      <c r="D89" s="2">
        <v>441</v>
      </c>
      <c r="E89" s="2">
        <v>36</v>
      </c>
      <c r="F89" s="2" t="str" cm="1">
        <f t="array" ref="F89">_xlfn.IFS(Table24[[#This Row],[QuantityInStock]]&lt;=Table24[[#This Row],[ReorderPoint]],"Low Stock",Table24[[#This Row],[QuantityInStock]]&gt;Table24[[#This Row],[ReorderPoint]],"Adequate Stock",Table24[[#This Row],[QuantityInStock]]=0,"Out Of Stock")</f>
        <v>Adequate Stock</v>
      </c>
      <c r="G89" s="2" t="s">
        <v>519</v>
      </c>
      <c r="H89" s="2" t="s">
        <v>523</v>
      </c>
      <c r="I89" s="2">
        <v>10</v>
      </c>
      <c r="J89" s="2" t="s">
        <v>525</v>
      </c>
      <c r="K89" s="2">
        <v>58.59</v>
      </c>
      <c r="L89" s="2">
        <f>Table24[[#This Row],[QuantityInStock]]*Table24[[#This Row],[UnitCost]]</f>
        <v>25838.190000000002</v>
      </c>
    </row>
    <row r="90" spans="1:12" x14ac:dyDescent="0.3">
      <c r="A90" s="2" t="s">
        <v>97</v>
      </c>
      <c r="B90" s="2" t="s">
        <v>514</v>
      </c>
      <c r="C90" s="2" t="str">
        <f>_xlfn.XLOOKUP(Table24[[#This Row],[ProductName]],Table4[Product name],Table4[Category],"Not Found",0)</f>
        <v>Furniture</v>
      </c>
      <c r="D90" s="2">
        <v>488</v>
      </c>
      <c r="E90" s="2">
        <v>27</v>
      </c>
      <c r="F90" s="2" t="str" cm="1">
        <f t="array" ref="F90">_xlfn.IFS(Table24[[#This Row],[QuantityInStock]]&lt;=Table24[[#This Row],[ReorderPoint]],"Low Stock",Table24[[#This Row],[QuantityInStock]]&gt;Table24[[#This Row],[ReorderPoint]],"Adequate Stock",Table24[[#This Row],[QuantityInStock]]=0,"Out Of Stock")</f>
        <v>Adequate Stock</v>
      </c>
      <c r="G90" s="2" t="s">
        <v>517</v>
      </c>
      <c r="H90" s="2" t="s">
        <v>521</v>
      </c>
      <c r="I90" s="2">
        <v>21</v>
      </c>
      <c r="J90" s="2" t="s">
        <v>524</v>
      </c>
      <c r="K90" s="2">
        <v>105.25</v>
      </c>
      <c r="L90" s="2">
        <f>Table24[[#This Row],[QuantityInStock]]*Table24[[#This Row],[UnitCost]]</f>
        <v>51362</v>
      </c>
    </row>
    <row r="91" spans="1:12" x14ac:dyDescent="0.3">
      <c r="A91" s="2" t="s">
        <v>98</v>
      </c>
      <c r="B91" s="2" t="s">
        <v>510</v>
      </c>
      <c r="C91" s="2" t="str">
        <f>_xlfn.XLOOKUP(Table24[[#This Row],[ProductName]],Table4[Product name],Table4[Category],"Not Found",0)</f>
        <v>Electronics</v>
      </c>
      <c r="D91" s="2">
        <v>313</v>
      </c>
      <c r="E91" s="2">
        <v>35</v>
      </c>
      <c r="F91" s="2" t="str" cm="1">
        <f t="array" ref="F91">_xlfn.IFS(Table24[[#This Row],[QuantityInStock]]&lt;=Table24[[#This Row],[ReorderPoint]],"Low Stock",Table24[[#This Row],[QuantityInStock]]&gt;Table24[[#This Row],[ReorderPoint]],"Adequate Stock",Table24[[#This Row],[QuantityInStock]]=0,"Out Of Stock")</f>
        <v>Adequate Stock</v>
      </c>
      <c r="G91" s="2" t="s">
        <v>517</v>
      </c>
      <c r="H91" s="2" t="s">
        <v>521</v>
      </c>
      <c r="I91" s="2">
        <v>6</v>
      </c>
      <c r="J91" s="2" t="s">
        <v>524</v>
      </c>
      <c r="K91" s="2">
        <v>190.59</v>
      </c>
      <c r="L91" s="2">
        <f>Table24[[#This Row],[QuantityInStock]]*Table24[[#This Row],[UnitCost]]</f>
        <v>59654.67</v>
      </c>
    </row>
    <row r="92" spans="1:12" x14ac:dyDescent="0.3">
      <c r="A92" s="2" t="s">
        <v>99</v>
      </c>
      <c r="B92" s="2" t="s">
        <v>512</v>
      </c>
      <c r="C92" s="2" t="str">
        <f>_xlfn.XLOOKUP(Table24[[#This Row],[ProductName]],Table4[Product name],Table4[Category],"Not Found",0)</f>
        <v>Furniture</v>
      </c>
      <c r="D92" s="2">
        <v>488</v>
      </c>
      <c r="E92" s="2">
        <v>77</v>
      </c>
      <c r="F92" s="2" t="str" cm="1">
        <f t="array" ref="F92">_xlfn.IFS(Table24[[#This Row],[QuantityInStock]]&lt;=Table24[[#This Row],[ReorderPoint]],"Low Stock",Table24[[#This Row],[QuantityInStock]]&gt;Table24[[#This Row],[ReorderPoint]],"Adequate Stock",Table24[[#This Row],[QuantityInStock]]=0,"Out Of Stock")</f>
        <v>Adequate Stock</v>
      </c>
      <c r="G92" s="2" t="s">
        <v>516</v>
      </c>
      <c r="H92" s="2" t="s">
        <v>520</v>
      </c>
      <c r="I92" s="2">
        <v>6</v>
      </c>
      <c r="J92" s="2" t="s">
        <v>526</v>
      </c>
      <c r="K92" s="2">
        <v>36.92</v>
      </c>
      <c r="L92" s="2">
        <f>Table24[[#This Row],[QuantityInStock]]*Table24[[#This Row],[UnitCost]]</f>
        <v>18016.96</v>
      </c>
    </row>
    <row r="93" spans="1:12" x14ac:dyDescent="0.3">
      <c r="A93" s="2" t="s">
        <v>100</v>
      </c>
      <c r="B93" s="2" t="s">
        <v>510</v>
      </c>
      <c r="C93" s="2" t="str">
        <f>_xlfn.XLOOKUP(Table24[[#This Row],[ProductName]],Table4[Product name],Table4[Category],"Not Found",0)</f>
        <v>Electronics</v>
      </c>
      <c r="D93" s="2">
        <v>317</v>
      </c>
      <c r="E93" s="2">
        <v>91</v>
      </c>
      <c r="F93" s="2" t="str" cm="1">
        <f t="array" ref="F93">_xlfn.IFS(Table24[[#This Row],[QuantityInStock]]&lt;=Table24[[#This Row],[ReorderPoint]],"Low Stock",Table24[[#This Row],[QuantityInStock]]&gt;Table24[[#This Row],[ReorderPoint]],"Adequate Stock",Table24[[#This Row],[QuantityInStock]]=0,"Out Of Stock")</f>
        <v>Adequate Stock</v>
      </c>
      <c r="G93" s="2" t="s">
        <v>519</v>
      </c>
      <c r="H93" s="2" t="s">
        <v>523</v>
      </c>
      <c r="I93" s="2">
        <v>12</v>
      </c>
      <c r="J93" s="2" t="s">
        <v>525</v>
      </c>
      <c r="K93" s="2">
        <v>103.62</v>
      </c>
      <c r="L93" s="2">
        <f>Table24[[#This Row],[QuantityInStock]]*Table24[[#This Row],[UnitCost]]</f>
        <v>32847.54</v>
      </c>
    </row>
    <row r="94" spans="1:12" x14ac:dyDescent="0.3">
      <c r="A94" s="2" t="s">
        <v>101</v>
      </c>
      <c r="B94" s="2" t="s">
        <v>513</v>
      </c>
      <c r="C94" s="2" t="str">
        <f>_xlfn.XLOOKUP(Table24[[#This Row],[ProductName]],Table4[Product name],Table4[Category],"Not Found",0)</f>
        <v>Electronics</v>
      </c>
      <c r="D94" s="2">
        <v>54</v>
      </c>
      <c r="E94" s="2">
        <v>91</v>
      </c>
      <c r="F94" s="2" t="str" cm="1">
        <f t="array" ref="F94">_xlfn.IFS(Table24[[#This Row],[QuantityInStock]]&lt;=Table24[[#This Row],[ReorderPoint]],"Low Stock",Table24[[#This Row],[QuantityInStock]]&gt;Table24[[#This Row],[ReorderPoint]],"Adequate Stock",Table24[[#This Row],[QuantityInStock]]=0,"Out Of Stock")</f>
        <v>Low Stock</v>
      </c>
      <c r="G94" s="2" t="s">
        <v>519</v>
      </c>
      <c r="H94" s="2" t="s">
        <v>523</v>
      </c>
      <c r="I94" s="2">
        <v>16</v>
      </c>
      <c r="J94" s="2" t="s">
        <v>525</v>
      </c>
      <c r="K94" s="2">
        <v>180.56</v>
      </c>
      <c r="L94" s="2">
        <f>Table24[[#This Row],[QuantityInStock]]*Table24[[#This Row],[UnitCost]]</f>
        <v>9750.24</v>
      </c>
    </row>
    <row r="95" spans="1:12" x14ac:dyDescent="0.3">
      <c r="A95" s="2" t="s">
        <v>102</v>
      </c>
      <c r="B95" s="2" t="s">
        <v>512</v>
      </c>
      <c r="C95" s="2" t="str">
        <f>_xlfn.XLOOKUP(Table24[[#This Row],[ProductName]],Table4[Product name],Table4[Category],"Not Found",0)</f>
        <v>Furniture</v>
      </c>
      <c r="D95" s="2">
        <v>73</v>
      </c>
      <c r="E95" s="2">
        <v>24</v>
      </c>
      <c r="F95" s="2" t="str" cm="1">
        <f t="array" ref="F95">_xlfn.IFS(Table24[[#This Row],[QuantityInStock]]&lt;=Table24[[#This Row],[ReorderPoint]],"Low Stock",Table24[[#This Row],[QuantityInStock]]&gt;Table24[[#This Row],[ReorderPoint]],"Adequate Stock",Table24[[#This Row],[QuantityInStock]]=0,"Out Of Stock")</f>
        <v>Adequate Stock</v>
      </c>
      <c r="G95" s="2" t="s">
        <v>516</v>
      </c>
      <c r="H95" s="2" t="s">
        <v>520</v>
      </c>
      <c r="I95" s="2">
        <v>19</v>
      </c>
      <c r="J95" s="2" t="s">
        <v>524</v>
      </c>
      <c r="K95" s="2">
        <v>140.12</v>
      </c>
      <c r="L95" s="2">
        <f>Table24[[#This Row],[QuantityInStock]]*Table24[[#This Row],[UnitCost]]</f>
        <v>10228.76</v>
      </c>
    </row>
    <row r="96" spans="1:12" x14ac:dyDescent="0.3">
      <c r="A96" s="2" t="s">
        <v>103</v>
      </c>
      <c r="B96" s="2" t="s">
        <v>514</v>
      </c>
      <c r="C96" s="2" t="str">
        <f>_xlfn.XLOOKUP(Table24[[#This Row],[ProductName]],Table4[Product name],Table4[Category],"Not Found",0)</f>
        <v>Furniture</v>
      </c>
      <c r="D96" s="2">
        <v>64</v>
      </c>
      <c r="E96" s="2">
        <v>36</v>
      </c>
      <c r="F96" s="2" t="str" cm="1">
        <f t="array" ref="F96">_xlfn.IFS(Table24[[#This Row],[QuantityInStock]]&lt;=Table24[[#This Row],[ReorderPoint]],"Low Stock",Table24[[#This Row],[QuantityInStock]]&gt;Table24[[#This Row],[ReorderPoint]],"Adequate Stock",Table24[[#This Row],[QuantityInStock]]=0,"Out Of Stock")</f>
        <v>Adequate Stock</v>
      </c>
      <c r="G96" s="2" t="s">
        <v>517</v>
      </c>
      <c r="H96" s="2" t="s">
        <v>521</v>
      </c>
      <c r="I96" s="2">
        <v>3</v>
      </c>
      <c r="J96" s="2" t="s">
        <v>528</v>
      </c>
      <c r="K96" s="2">
        <v>24.54</v>
      </c>
      <c r="L96" s="2">
        <f>Table24[[#This Row],[QuantityInStock]]*Table24[[#This Row],[UnitCost]]</f>
        <v>1570.56</v>
      </c>
    </row>
    <row r="97" spans="1:12" x14ac:dyDescent="0.3">
      <c r="A97" s="2" t="s">
        <v>104</v>
      </c>
      <c r="B97" s="2" t="s">
        <v>513</v>
      </c>
      <c r="C97" s="2" t="str">
        <f>_xlfn.XLOOKUP(Table24[[#This Row],[ProductName]],Table4[Product name],Table4[Category],"Not Found",0)</f>
        <v>Electronics</v>
      </c>
      <c r="D97" s="2">
        <v>261</v>
      </c>
      <c r="E97" s="2">
        <v>89</v>
      </c>
      <c r="F97" s="2" t="str" cm="1">
        <f t="array" ref="F97">_xlfn.IFS(Table24[[#This Row],[QuantityInStock]]&lt;=Table24[[#This Row],[ReorderPoint]],"Low Stock",Table24[[#This Row],[QuantityInStock]]&gt;Table24[[#This Row],[ReorderPoint]],"Adequate Stock",Table24[[#This Row],[QuantityInStock]]=0,"Out Of Stock")</f>
        <v>Adequate Stock</v>
      </c>
      <c r="G97" s="2" t="s">
        <v>517</v>
      </c>
      <c r="H97" s="2" t="s">
        <v>521</v>
      </c>
      <c r="I97" s="2">
        <v>12</v>
      </c>
      <c r="J97" s="2" t="s">
        <v>526</v>
      </c>
      <c r="K97" s="2">
        <v>172.77</v>
      </c>
      <c r="L97" s="2">
        <f>Table24[[#This Row],[QuantityInStock]]*Table24[[#This Row],[UnitCost]]</f>
        <v>45092.97</v>
      </c>
    </row>
    <row r="98" spans="1:12" x14ac:dyDescent="0.3">
      <c r="A98" s="2" t="s">
        <v>105</v>
      </c>
      <c r="B98" s="2" t="s">
        <v>515</v>
      </c>
      <c r="C98" s="2" t="str">
        <f>_xlfn.XLOOKUP(Table24[[#This Row],[ProductName]],Table4[Product name],Table4[Category],"Not Found",0)</f>
        <v>Electronics</v>
      </c>
      <c r="D98" s="2">
        <v>11</v>
      </c>
      <c r="E98" s="2">
        <v>22</v>
      </c>
      <c r="F98" s="2" t="str" cm="1">
        <f t="array" ref="F98">_xlfn.IFS(Table24[[#This Row],[QuantityInStock]]&lt;=Table24[[#This Row],[ReorderPoint]],"Low Stock",Table24[[#This Row],[QuantityInStock]]&gt;Table24[[#This Row],[ReorderPoint]],"Adequate Stock",Table24[[#This Row],[QuantityInStock]]=0,"Out Of Stock")</f>
        <v>Low Stock</v>
      </c>
      <c r="G98" s="2" t="s">
        <v>519</v>
      </c>
      <c r="H98" s="2" t="s">
        <v>523</v>
      </c>
      <c r="I98" s="2">
        <v>18</v>
      </c>
      <c r="J98" s="2" t="s">
        <v>525</v>
      </c>
      <c r="K98" s="2">
        <v>149.94999999999999</v>
      </c>
      <c r="L98" s="2">
        <f>Table24[[#This Row],[QuantityInStock]]*Table24[[#This Row],[UnitCost]]</f>
        <v>1649.4499999999998</v>
      </c>
    </row>
    <row r="99" spans="1:12" x14ac:dyDescent="0.3">
      <c r="A99" s="2" t="s">
        <v>106</v>
      </c>
      <c r="B99" s="2" t="s">
        <v>514</v>
      </c>
      <c r="C99" s="2" t="str">
        <f>_xlfn.XLOOKUP(Table24[[#This Row],[ProductName]],Table4[Product name],Table4[Category],"Not Found",0)</f>
        <v>Furniture</v>
      </c>
      <c r="D99" s="2">
        <v>321</v>
      </c>
      <c r="E99" s="2">
        <v>61</v>
      </c>
      <c r="F99" s="2" t="str" cm="1">
        <f t="array" ref="F99">_xlfn.IFS(Table24[[#This Row],[QuantityInStock]]&lt;=Table24[[#This Row],[ReorderPoint]],"Low Stock",Table24[[#This Row],[QuantityInStock]]&gt;Table24[[#This Row],[ReorderPoint]],"Adequate Stock",Table24[[#This Row],[QuantityInStock]]=0,"Out Of Stock")</f>
        <v>Adequate Stock</v>
      </c>
      <c r="G99" s="2" t="s">
        <v>517</v>
      </c>
      <c r="H99" s="2" t="s">
        <v>521</v>
      </c>
      <c r="I99" s="2">
        <v>13</v>
      </c>
      <c r="J99" s="2" t="s">
        <v>526</v>
      </c>
      <c r="K99" s="2">
        <v>154.34</v>
      </c>
      <c r="L99" s="2">
        <f>Table24[[#This Row],[QuantityInStock]]*Table24[[#This Row],[UnitCost]]</f>
        <v>49543.14</v>
      </c>
    </row>
    <row r="100" spans="1:12" x14ac:dyDescent="0.3">
      <c r="A100" s="2" t="s">
        <v>107</v>
      </c>
      <c r="B100" s="2" t="s">
        <v>513</v>
      </c>
      <c r="C100" s="2" t="str">
        <f>_xlfn.XLOOKUP(Table24[[#This Row],[ProductName]],Table4[Product name],Table4[Category],"Not Found",0)</f>
        <v>Electronics</v>
      </c>
      <c r="D100" s="2">
        <v>37</v>
      </c>
      <c r="E100" s="2">
        <v>71</v>
      </c>
      <c r="F100" s="2" t="str" cm="1">
        <f t="array" ref="F100">_xlfn.IFS(Table24[[#This Row],[QuantityInStock]]&lt;=Table24[[#This Row],[ReorderPoint]],"Low Stock",Table24[[#This Row],[QuantityInStock]]&gt;Table24[[#This Row],[ReorderPoint]],"Adequate Stock",Table24[[#This Row],[QuantityInStock]]=0,"Out Of Stock")</f>
        <v>Low Stock</v>
      </c>
      <c r="G100" s="2" t="s">
        <v>518</v>
      </c>
      <c r="H100" s="2" t="s">
        <v>522</v>
      </c>
      <c r="I100" s="2">
        <v>17</v>
      </c>
      <c r="J100" s="2" t="s">
        <v>526</v>
      </c>
      <c r="K100" s="2">
        <v>42.11</v>
      </c>
      <c r="L100" s="2">
        <f>Table24[[#This Row],[QuantityInStock]]*Table24[[#This Row],[UnitCost]]</f>
        <v>1558.07</v>
      </c>
    </row>
    <row r="101" spans="1:12" x14ac:dyDescent="0.3">
      <c r="A101" s="2" t="s">
        <v>108</v>
      </c>
      <c r="B101" s="2" t="s">
        <v>510</v>
      </c>
      <c r="C101" s="2" t="str">
        <f>_xlfn.XLOOKUP(Table24[[#This Row],[ProductName]],Table4[Product name],Table4[Category],"Not Found",0)</f>
        <v>Electronics</v>
      </c>
      <c r="D101" s="2">
        <v>15</v>
      </c>
      <c r="E101" s="2">
        <v>66</v>
      </c>
      <c r="F101" s="2" t="str" cm="1">
        <f t="array" ref="F101">_xlfn.IFS(Table24[[#This Row],[QuantityInStock]]&lt;=Table24[[#This Row],[ReorderPoint]],"Low Stock",Table24[[#This Row],[QuantityInStock]]&gt;Table24[[#This Row],[ReorderPoint]],"Adequate Stock",Table24[[#This Row],[QuantityInStock]]=0,"Out Of Stock")</f>
        <v>Low Stock</v>
      </c>
      <c r="G101" s="2" t="s">
        <v>516</v>
      </c>
      <c r="H101" s="2" t="s">
        <v>520</v>
      </c>
      <c r="I101" s="2">
        <v>11</v>
      </c>
      <c r="J101" s="2" t="s">
        <v>527</v>
      </c>
      <c r="K101" s="2">
        <v>125.01</v>
      </c>
      <c r="L101" s="2">
        <f>Table24[[#This Row],[QuantityInStock]]*Table24[[#This Row],[UnitCost]]</f>
        <v>1875.15</v>
      </c>
    </row>
    <row r="102" spans="1:12" x14ac:dyDescent="0.3">
      <c r="A102" s="2" t="s">
        <v>109</v>
      </c>
      <c r="B102" s="2" t="s">
        <v>510</v>
      </c>
      <c r="C102" s="2" t="str">
        <f>_xlfn.XLOOKUP(Table24[[#This Row],[ProductName]],Table4[Product name],Table4[Category],"Not Found",0)</f>
        <v>Electronics</v>
      </c>
      <c r="D102" s="2">
        <v>277</v>
      </c>
      <c r="E102" s="2">
        <v>88</v>
      </c>
      <c r="F102" s="2" t="str" cm="1">
        <f t="array" ref="F102">_xlfn.IFS(Table24[[#This Row],[QuantityInStock]]&lt;=Table24[[#This Row],[ReorderPoint]],"Low Stock",Table24[[#This Row],[QuantityInStock]]&gt;Table24[[#This Row],[ReorderPoint]],"Adequate Stock",Table24[[#This Row],[QuantityInStock]]=0,"Out Of Stock")</f>
        <v>Adequate Stock</v>
      </c>
      <c r="G102" s="2" t="s">
        <v>519</v>
      </c>
      <c r="H102" s="2" t="s">
        <v>523</v>
      </c>
      <c r="I102" s="2">
        <v>5</v>
      </c>
      <c r="J102" s="2" t="s">
        <v>527</v>
      </c>
      <c r="K102" s="2">
        <v>96.67</v>
      </c>
      <c r="L102" s="2">
        <f>Table24[[#This Row],[QuantityInStock]]*Table24[[#This Row],[UnitCost]]</f>
        <v>26777.59</v>
      </c>
    </row>
    <row r="103" spans="1:12" x14ac:dyDescent="0.3">
      <c r="A103" s="2" t="s">
        <v>110</v>
      </c>
      <c r="B103" s="2" t="s">
        <v>513</v>
      </c>
      <c r="C103" s="2" t="str">
        <f>_xlfn.XLOOKUP(Table24[[#This Row],[ProductName]],Table4[Product name],Table4[Category],"Not Found",0)</f>
        <v>Electronics</v>
      </c>
      <c r="D103" s="2">
        <v>23</v>
      </c>
      <c r="E103" s="2">
        <v>34</v>
      </c>
      <c r="F103" s="2" t="str" cm="1">
        <f t="array" ref="F103">_xlfn.IFS(Table24[[#This Row],[QuantityInStock]]&lt;=Table24[[#This Row],[ReorderPoint]],"Low Stock",Table24[[#This Row],[QuantityInStock]]&gt;Table24[[#This Row],[ReorderPoint]],"Adequate Stock",Table24[[#This Row],[QuantityInStock]]=0,"Out Of Stock")</f>
        <v>Low Stock</v>
      </c>
      <c r="G103" s="2" t="s">
        <v>516</v>
      </c>
      <c r="H103" s="2" t="s">
        <v>520</v>
      </c>
      <c r="I103" s="2">
        <v>17</v>
      </c>
      <c r="J103" s="2" t="s">
        <v>525</v>
      </c>
      <c r="K103" s="2">
        <v>71.819999999999993</v>
      </c>
      <c r="L103" s="2">
        <f>Table24[[#This Row],[QuantityInStock]]*Table24[[#This Row],[UnitCost]]</f>
        <v>1651.86</v>
      </c>
    </row>
    <row r="104" spans="1:12" x14ac:dyDescent="0.3">
      <c r="A104" s="2" t="s">
        <v>111</v>
      </c>
      <c r="B104" s="2" t="s">
        <v>513</v>
      </c>
      <c r="C104" s="2" t="str">
        <f>_xlfn.XLOOKUP(Table24[[#This Row],[ProductName]],Table4[Product name],Table4[Category],"Not Found",0)</f>
        <v>Electronics</v>
      </c>
      <c r="D104" s="2">
        <v>43</v>
      </c>
      <c r="E104" s="2">
        <v>77</v>
      </c>
      <c r="F104" s="2" t="str" cm="1">
        <f t="array" ref="F104">_xlfn.IFS(Table24[[#This Row],[QuantityInStock]]&lt;=Table24[[#This Row],[ReorderPoint]],"Low Stock",Table24[[#This Row],[QuantityInStock]]&gt;Table24[[#This Row],[ReorderPoint]],"Adequate Stock",Table24[[#This Row],[QuantityInStock]]=0,"Out Of Stock")</f>
        <v>Low Stock</v>
      </c>
      <c r="G104" s="2" t="s">
        <v>518</v>
      </c>
      <c r="H104" s="2" t="s">
        <v>522</v>
      </c>
      <c r="I104" s="2">
        <v>13</v>
      </c>
      <c r="J104" s="2" t="s">
        <v>528</v>
      </c>
      <c r="K104" s="2">
        <v>153.81</v>
      </c>
      <c r="L104" s="2">
        <f>Table24[[#This Row],[QuantityInStock]]*Table24[[#This Row],[UnitCost]]</f>
        <v>6613.83</v>
      </c>
    </row>
    <row r="105" spans="1:12" x14ac:dyDescent="0.3">
      <c r="A105" s="2" t="s">
        <v>112</v>
      </c>
      <c r="B105" s="2" t="s">
        <v>509</v>
      </c>
      <c r="C105" s="2" t="str">
        <f>_xlfn.XLOOKUP(Table24[[#This Row],[ProductName]],Table4[Product name],Table4[Category],"Not Found",0)</f>
        <v>Electronics</v>
      </c>
      <c r="D105" s="2">
        <v>246</v>
      </c>
      <c r="E105" s="2">
        <v>67</v>
      </c>
      <c r="F105" s="2" t="str" cm="1">
        <f t="array" ref="F105">_xlfn.IFS(Table24[[#This Row],[QuantityInStock]]&lt;=Table24[[#This Row],[ReorderPoint]],"Low Stock",Table24[[#This Row],[QuantityInStock]]&gt;Table24[[#This Row],[ReorderPoint]],"Adequate Stock",Table24[[#This Row],[QuantityInStock]]=0,"Out Of Stock")</f>
        <v>Adequate Stock</v>
      </c>
      <c r="G105" s="2" t="s">
        <v>516</v>
      </c>
      <c r="H105" s="2" t="s">
        <v>520</v>
      </c>
      <c r="I105" s="2">
        <v>8</v>
      </c>
      <c r="J105" s="2" t="s">
        <v>527</v>
      </c>
      <c r="K105" s="2">
        <v>170.3</v>
      </c>
      <c r="L105" s="2">
        <f>Table24[[#This Row],[QuantityInStock]]*Table24[[#This Row],[UnitCost]]</f>
        <v>41893.800000000003</v>
      </c>
    </row>
    <row r="106" spans="1:12" x14ac:dyDescent="0.3">
      <c r="A106" s="2" t="s">
        <v>113</v>
      </c>
      <c r="B106" s="2" t="s">
        <v>512</v>
      </c>
      <c r="C106" s="2" t="str">
        <f>_xlfn.XLOOKUP(Table24[[#This Row],[ProductName]],Table4[Product name],Table4[Category],"Not Found",0)</f>
        <v>Furniture</v>
      </c>
      <c r="D106" s="2">
        <v>493</v>
      </c>
      <c r="E106" s="2">
        <v>54</v>
      </c>
      <c r="F106" s="2" t="str" cm="1">
        <f t="array" ref="F106">_xlfn.IFS(Table24[[#This Row],[QuantityInStock]]&lt;=Table24[[#This Row],[ReorderPoint]],"Low Stock",Table24[[#This Row],[QuantityInStock]]&gt;Table24[[#This Row],[ReorderPoint]],"Adequate Stock",Table24[[#This Row],[QuantityInStock]]=0,"Out Of Stock")</f>
        <v>Adequate Stock</v>
      </c>
      <c r="G106" s="2" t="s">
        <v>516</v>
      </c>
      <c r="H106" s="2" t="s">
        <v>520</v>
      </c>
      <c r="I106" s="2">
        <v>11</v>
      </c>
      <c r="J106" s="2" t="s">
        <v>525</v>
      </c>
      <c r="K106" s="2">
        <v>191.08</v>
      </c>
      <c r="L106" s="2">
        <f>Table24[[#This Row],[QuantityInStock]]*Table24[[#This Row],[UnitCost]]</f>
        <v>94202.44</v>
      </c>
    </row>
    <row r="107" spans="1:12" x14ac:dyDescent="0.3">
      <c r="A107" s="2" t="s">
        <v>114</v>
      </c>
      <c r="B107" s="2" t="s">
        <v>513</v>
      </c>
      <c r="C107" s="2" t="str">
        <f>_xlfn.XLOOKUP(Table24[[#This Row],[ProductName]],Table4[Product name],Table4[Category],"Not Found",0)</f>
        <v>Electronics</v>
      </c>
      <c r="D107" s="2">
        <v>82</v>
      </c>
      <c r="E107" s="2">
        <v>68</v>
      </c>
      <c r="F107" s="2" t="str" cm="1">
        <f t="array" ref="F107">_xlfn.IFS(Table24[[#This Row],[QuantityInStock]]&lt;=Table24[[#This Row],[ReorderPoint]],"Low Stock",Table24[[#This Row],[QuantityInStock]]&gt;Table24[[#This Row],[ReorderPoint]],"Adequate Stock",Table24[[#This Row],[QuantityInStock]]=0,"Out Of Stock")</f>
        <v>Adequate Stock</v>
      </c>
      <c r="G107" s="2" t="s">
        <v>518</v>
      </c>
      <c r="H107" s="2" t="s">
        <v>522</v>
      </c>
      <c r="I107" s="2">
        <v>5</v>
      </c>
      <c r="J107" s="2" t="s">
        <v>527</v>
      </c>
      <c r="K107" s="2">
        <v>101.97</v>
      </c>
      <c r="L107" s="2">
        <f>Table24[[#This Row],[QuantityInStock]]*Table24[[#This Row],[UnitCost]]</f>
        <v>8361.5399999999991</v>
      </c>
    </row>
    <row r="108" spans="1:12" x14ac:dyDescent="0.3">
      <c r="A108" s="2" t="s">
        <v>115</v>
      </c>
      <c r="B108" s="2" t="s">
        <v>512</v>
      </c>
      <c r="C108" s="2" t="str">
        <f>_xlfn.XLOOKUP(Table24[[#This Row],[ProductName]],Table4[Product name],Table4[Category],"Not Found",0)</f>
        <v>Furniture</v>
      </c>
      <c r="D108" s="2">
        <v>125</v>
      </c>
      <c r="E108" s="2">
        <v>48</v>
      </c>
      <c r="F108" s="2" t="str" cm="1">
        <f t="array" ref="F108">_xlfn.IFS(Table24[[#This Row],[QuantityInStock]]&lt;=Table24[[#This Row],[ReorderPoint]],"Low Stock",Table24[[#This Row],[QuantityInStock]]&gt;Table24[[#This Row],[ReorderPoint]],"Adequate Stock",Table24[[#This Row],[QuantityInStock]]=0,"Out Of Stock")</f>
        <v>Adequate Stock</v>
      </c>
      <c r="G108" s="2" t="s">
        <v>519</v>
      </c>
      <c r="H108" s="2" t="s">
        <v>523</v>
      </c>
      <c r="I108" s="2">
        <v>8</v>
      </c>
      <c r="J108" s="2" t="s">
        <v>526</v>
      </c>
      <c r="K108" s="2">
        <v>117.32</v>
      </c>
      <c r="L108" s="2">
        <f>Table24[[#This Row],[QuantityInStock]]*Table24[[#This Row],[UnitCost]]</f>
        <v>14665</v>
      </c>
    </row>
    <row r="109" spans="1:12" x14ac:dyDescent="0.3">
      <c r="A109" s="2" t="s">
        <v>116</v>
      </c>
      <c r="B109" s="2" t="s">
        <v>510</v>
      </c>
      <c r="C109" s="2" t="str">
        <f>_xlfn.XLOOKUP(Table24[[#This Row],[ProductName]],Table4[Product name],Table4[Category],"Not Found",0)</f>
        <v>Electronics</v>
      </c>
      <c r="D109" s="2">
        <v>68</v>
      </c>
      <c r="E109" s="2">
        <v>27</v>
      </c>
      <c r="F109" s="2" t="str" cm="1">
        <f t="array" ref="F109">_xlfn.IFS(Table24[[#This Row],[QuantityInStock]]&lt;=Table24[[#This Row],[ReorderPoint]],"Low Stock",Table24[[#This Row],[QuantityInStock]]&gt;Table24[[#This Row],[ReorderPoint]],"Adequate Stock",Table24[[#This Row],[QuantityInStock]]=0,"Out Of Stock")</f>
        <v>Adequate Stock</v>
      </c>
      <c r="G109" s="2" t="s">
        <v>518</v>
      </c>
      <c r="H109" s="2" t="s">
        <v>522</v>
      </c>
      <c r="I109" s="2">
        <v>13</v>
      </c>
      <c r="J109" s="2" t="s">
        <v>526</v>
      </c>
      <c r="K109" s="2">
        <v>28.95</v>
      </c>
      <c r="L109" s="2">
        <f>Table24[[#This Row],[QuantityInStock]]*Table24[[#This Row],[UnitCost]]</f>
        <v>1968.6</v>
      </c>
    </row>
    <row r="110" spans="1:12" x14ac:dyDescent="0.3">
      <c r="A110" s="2" t="s">
        <v>117</v>
      </c>
      <c r="B110" s="2" t="s">
        <v>514</v>
      </c>
      <c r="C110" s="2" t="str">
        <f>_xlfn.XLOOKUP(Table24[[#This Row],[ProductName]],Table4[Product name],Table4[Category],"Not Found",0)</f>
        <v>Furniture</v>
      </c>
      <c r="D110" s="2">
        <v>55</v>
      </c>
      <c r="E110" s="2">
        <v>69</v>
      </c>
      <c r="F110" s="2" t="str" cm="1">
        <f t="array" ref="F110">_xlfn.IFS(Table24[[#This Row],[QuantityInStock]]&lt;=Table24[[#This Row],[ReorderPoint]],"Low Stock",Table24[[#This Row],[QuantityInStock]]&gt;Table24[[#This Row],[ReorderPoint]],"Adequate Stock",Table24[[#This Row],[QuantityInStock]]=0,"Out Of Stock")</f>
        <v>Low Stock</v>
      </c>
      <c r="G110" s="2" t="s">
        <v>518</v>
      </c>
      <c r="H110" s="2" t="s">
        <v>522</v>
      </c>
      <c r="I110" s="2">
        <v>17</v>
      </c>
      <c r="J110" s="2" t="s">
        <v>528</v>
      </c>
      <c r="K110" s="2">
        <v>88.55</v>
      </c>
      <c r="L110" s="2">
        <f>Table24[[#This Row],[QuantityInStock]]*Table24[[#This Row],[UnitCost]]</f>
        <v>4870.25</v>
      </c>
    </row>
    <row r="111" spans="1:12" x14ac:dyDescent="0.3">
      <c r="A111" s="2" t="s">
        <v>118</v>
      </c>
      <c r="B111" s="2" t="s">
        <v>512</v>
      </c>
      <c r="C111" s="2" t="str">
        <f>_xlfn.XLOOKUP(Table24[[#This Row],[ProductName]],Table4[Product name],Table4[Category],"Not Found",0)</f>
        <v>Furniture</v>
      </c>
      <c r="D111" s="2">
        <v>408</v>
      </c>
      <c r="E111" s="2">
        <v>76</v>
      </c>
      <c r="F111" s="2" t="str" cm="1">
        <f t="array" ref="F111">_xlfn.IFS(Table24[[#This Row],[QuantityInStock]]&lt;=Table24[[#This Row],[ReorderPoint]],"Low Stock",Table24[[#This Row],[QuantityInStock]]&gt;Table24[[#This Row],[ReorderPoint]],"Adequate Stock",Table24[[#This Row],[QuantityInStock]]=0,"Out Of Stock")</f>
        <v>Adequate Stock</v>
      </c>
      <c r="G111" s="2" t="s">
        <v>518</v>
      </c>
      <c r="H111" s="2" t="s">
        <v>522</v>
      </c>
      <c r="I111" s="2">
        <v>15</v>
      </c>
      <c r="J111" s="2" t="s">
        <v>526</v>
      </c>
      <c r="K111" s="2">
        <v>197.58</v>
      </c>
      <c r="L111" s="2">
        <f>Table24[[#This Row],[QuantityInStock]]*Table24[[#This Row],[UnitCost]]</f>
        <v>80612.639999999999</v>
      </c>
    </row>
    <row r="112" spans="1:12" x14ac:dyDescent="0.3">
      <c r="A112" s="2" t="s">
        <v>119</v>
      </c>
      <c r="B112" s="2" t="s">
        <v>511</v>
      </c>
      <c r="C112" s="2" t="str">
        <f>_xlfn.XLOOKUP(Table24[[#This Row],[ProductName]],Table4[Product name],Table4[Category],"Not Found",0)</f>
        <v>Electronics</v>
      </c>
      <c r="D112" s="2">
        <v>352</v>
      </c>
      <c r="E112" s="2">
        <v>34</v>
      </c>
      <c r="F112" s="2" t="str" cm="1">
        <f t="array" ref="F112">_xlfn.IFS(Table24[[#This Row],[QuantityInStock]]&lt;=Table24[[#This Row],[ReorderPoint]],"Low Stock",Table24[[#This Row],[QuantityInStock]]&gt;Table24[[#This Row],[ReorderPoint]],"Adequate Stock",Table24[[#This Row],[QuantityInStock]]=0,"Out Of Stock")</f>
        <v>Adequate Stock</v>
      </c>
      <c r="G112" s="2" t="s">
        <v>519</v>
      </c>
      <c r="H112" s="2" t="s">
        <v>523</v>
      </c>
      <c r="I112" s="2">
        <v>21</v>
      </c>
      <c r="J112" s="2" t="s">
        <v>528</v>
      </c>
      <c r="K112" s="2">
        <v>181.7</v>
      </c>
      <c r="L112" s="2">
        <f>Table24[[#This Row],[QuantityInStock]]*Table24[[#This Row],[UnitCost]]</f>
        <v>63958.399999999994</v>
      </c>
    </row>
    <row r="113" spans="1:12" x14ac:dyDescent="0.3">
      <c r="A113" s="2" t="s">
        <v>120</v>
      </c>
      <c r="B113" s="2" t="s">
        <v>510</v>
      </c>
      <c r="C113" s="2" t="str">
        <f>_xlfn.XLOOKUP(Table24[[#This Row],[ProductName]],Table4[Product name],Table4[Category],"Not Found",0)</f>
        <v>Electronics</v>
      </c>
      <c r="D113" s="2">
        <v>479</v>
      </c>
      <c r="E113" s="2">
        <v>47</v>
      </c>
      <c r="F113" s="2" t="str" cm="1">
        <f t="array" ref="F113">_xlfn.IFS(Table24[[#This Row],[QuantityInStock]]&lt;=Table24[[#This Row],[ReorderPoint]],"Low Stock",Table24[[#This Row],[QuantityInStock]]&gt;Table24[[#This Row],[ReorderPoint]],"Adequate Stock",Table24[[#This Row],[QuantityInStock]]=0,"Out Of Stock")</f>
        <v>Adequate Stock</v>
      </c>
      <c r="G113" s="2" t="s">
        <v>517</v>
      </c>
      <c r="H113" s="2" t="s">
        <v>521</v>
      </c>
      <c r="I113" s="2">
        <v>17</v>
      </c>
      <c r="J113" s="2" t="s">
        <v>528</v>
      </c>
      <c r="K113" s="2">
        <v>133.54</v>
      </c>
      <c r="L113" s="2">
        <f>Table24[[#This Row],[QuantityInStock]]*Table24[[#This Row],[UnitCost]]</f>
        <v>63965.659999999996</v>
      </c>
    </row>
    <row r="114" spans="1:12" x14ac:dyDescent="0.3">
      <c r="A114" s="2" t="s">
        <v>121</v>
      </c>
      <c r="B114" s="2" t="s">
        <v>515</v>
      </c>
      <c r="C114" s="2" t="str">
        <f>_xlfn.XLOOKUP(Table24[[#This Row],[ProductName]],Table4[Product name],Table4[Category],"Not Found",0)</f>
        <v>Electronics</v>
      </c>
      <c r="D114" s="2">
        <v>74</v>
      </c>
      <c r="E114" s="2">
        <v>50</v>
      </c>
      <c r="F114" s="2" t="str" cm="1">
        <f t="array" ref="F114">_xlfn.IFS(Table24[[#This Row],[QuantityInStock]]&lt;=Table24[[#This Row],[ReorderPoint]],"Low Stock",Table24[[#This Row],[QuantityInStock]]&gt;Table24[[#This Row],[ReorderPoint]],"Adequate Stock",Table24[[#This Row],[QuantityInStock]]=0,"Out Of Stock")</f>
        <v>Adequate Stock</v>
      </c>
      <c r="G114" s="2" t="s">
        <v>516</v>
      </c>
      <c r="H114" s="2" t="s">
        <v>520</v>
      </c>
      <c r="I114" s="2">
        <v>14</v>
      </c>
      <c r="J114" s="2" t="s">
        <v>528</v>
      </c>
      <c r="K114" s="2">
        <v>6.57</v>
      </c>
      <c r="L114" s="2">
        <f>Table24[[#This Row],[QuantityInStock]]*Table24[[#This Row],[UnitCost]]</f>
        <v>486.18</v>
      </c>
    </row>
    <row r="115" spans="1:12" x14ac:dyDescent="0.3">
      <c r="A115" s="2" t="s">
        <v>122</v>
      </c>
      <c r="B115" s="2" t="s">
        <v>515</v>
      </c>
      <c r="C115" s="2" t="str">
        <f>_xlfn.XLOOKUP(Table24[[#This Row],[ProductName]],Table4[Product name],Table4[Category],"Not Found",0)</f>
        <v>Electronics</v>
      </c>
      <c r="D115" s="2">
        <v>374</v>
      </c>
      <c r="E115" s="2">
        <v>68</v>
      </c>
      <c r="F115" s="2" t="str" cm="1">
        <f t="array" ref="F115">_xlfn.IFS(Table24[[#This Row],[QuantityInStock]]&lt;=Table24[[#This Row],[ReorderPoint]],"Low Stock",Table24[[#This Row],[QuantityInStock]]&gt;Table24[[#This Row],[ReorderPoint]],"Adequate Stock",Table24[[#This Row],[QuantityInStock]]=0,"Out Of Stock")</f>
        <v>Adequate Stock</v>
      </c>
      <c r="G115" s="2" t="s">
        <v>516</v>
      </c>
      <c r="H115" s="2" t="s">
        <v>520</v>
      </c>
      <c r="I115" s="2">
        <v>3</v>
      </c>
      <c r="J115" s="2" t="s">
        <v>528</v>
      </c>
      <c r="K115" s="2">
        <v>165.44</v>
      </c>
      <c r="L115" s="2">
        <f>Table24[[#This Row],[QuantityInStock]]*Table24[[#This Row],[UnitCost]]</f>
        <v>61874.559999999998</v>
      </c>
    </row>
    <row r="116" spans="1:12" x14ac:dyDescent="0.3">
      <c r="A116" s="2" t="s">
        <v>123</v>
      </c>
      <c r="B116" s="2" t="s">
        <v>513</v>
      </c>
      <c r="C116" s="2" t="str">
        <f>_xlfn.XLOOKUP(Table24[[#This Row],[ProductName]],Table4[Product name],Table4[Category],"Not Found",0)</f>
        <v>Electronics</v>
      </c>
      <c r="D116" s="2">
        <v>426</v>
      </c>
      <c r="E116" s="2">
        <v>75</v>
      </c>
      <c r="F116" s="2" t="str" cm="1">
        <f t="array" ref="F116">_xlfn.IFS(Table24[[#This Row],[QuantityInStock]]&lt;=Table24[[#This Row],[ReorderPoint]],"Low Stock",Table24[[#This Row],[QuantityInStock]]&gt;Table24[[#This Row],[ReorderPoint]],"Adequate Stock",Table24[[#This Row],[QuantityInStock]]=0,"Out Of Stock")</f>
        <v>Adequate Stock</v>
      </c>
      <c r="G116" s="2" t="s">
        <v>518</v>
      </c>
      <c r="H116" s="2" t="s">
        <v>522</v>
      </c>
      <c r="I116" s="2">
        <v>11</v>
      </c>
      <c r="J116" s="2" t="s">
        <v>524</v>
      </c>
      <c r="K116" s="2">
        <v>127.55</v>
      </c>
      <c r="L116" s="2">
        <f>Table24[[#This Row],[QuantityInStock]]*Table24[[#This Row],[UnitCost]]</f>
        <v>54336.299999999996</v>
      </c>
    </row>
    <row r="117" spans="1:12" x14ac:dyDescent="0.3">
      <c r="A117" s="2" t="s">
        <v>124</v>
      </c>
      <c r="B117" s="2" t="s">
        <v>509</v>
      </c>
      <c r="C117" s="2" t="str">
        <f>_xlfn.XLOOKUP(Table24[[#This Row],[ProductName]],Table4[Product name],Table4[Category],"Not Found",0)</f>
        <v>Electronics</v>
      </c>
      <c r="D117" s="2">
        <v>103</v>
      </c>
      <c r="E117" s="2">
        <v>76</v>
      </c>
      <c r="F117" s="2" t="str" cm="1">
        <f t="array" ref="F117">_xlfn.IFS(Table24[[#This Row],[QuantityInStock]]&lt;=Table24[[#This Row],[ReorderPoint]],"Low Stock",Table24[[#This Row],[QuantityInStock]]&gt;Table24[[#This Row],[ReorderPoint]],"Adequate Stock",Table24[[#This Row],[QuantityInStock]]=0,"Out Of Stock")</f>
        <v>Adequate Stock</v>
      </c>
      <c r="G117" s="2" t="s">
        <v>517</v>
      </c>
      <c r="H117" s="2" t="s">
        <v>521</v>
      </c>
      <c r="I117" s="2">
        <v>7</v>
      </c>
      <c r="J117" s="2" t="s">
        <v>527</v>
      </c>
      <c r="K117" s="2">
        <v>115.04</v>
      </c>
      <c r="L117" s="2">
        <f>Table24[[#This Row],[QuantityInStock]]*Table24[[#This Row],[UnitCost]]</f>
        <v>11849.12</v>
      </c>
    </row>
    <row r="118" spans="1:12" x14ac:dyDescent="0.3">
      <c r="A118" s="2" t="s">
        <v>125</v>
      </c>
      <c r="B118" s="2" t="s">
        <v>510</v>
      </c>
      <c r="C118" s="2" t="str">
        <f>_xlfn.XLOOKUP(Table24[[#This Row],[ProductName]],Table4[Product name],Table4[Category],"Not Found",0)</f>
        <v>Electronics</v>
      </c>
      <c r="D118" s="2">
        <v>83</v>
      </c>
      <c r="E118" s="2">
        <v>58</v>
      </c>
      <c r="F118" s="2" t="str" cm="1">
        <f t="array" ref="F118">_xlfn.IFS(Table24[[#This Row],[QuantityInStock]]&lt;=Table24[[#This Row],[ReorderPoint]],"Low Stock",Table24[[#This Row],[QuantityInStock]]&gt;Table24[[#This Row],[ReorderPoint]],"Adequate Stock",Table24[[#This Row],[QuantityInStock]]=0,"Out Of Stock")</f>
        <v>Adequate Stock</v>
      </c>
      <c r="G118" s="2" t="s">
        <v>519</v>
      </c>
      <c r="H118" s="2" t="s">
        <v>523</v>
      </c>
      <c r="I118" s="2">
        <v>6</v>
      </c>
      <c r="J118" s="2" t="s">
        <v>527</v>
      </c>
      <c r="K118" s="2">
        <v>75.91</v>
      </c>
      <c r="L118" s="2">
        <f>Table24[[#This Row],[QuantityInStock]]*Table24[[#This Row],[UnitCost]]</f>
        <v>6300.53</v>
      </c>
    </row>
    <row r="119" spans="1:12" x14ac:dyDescent="0.3">
      <c r="A119" s="2" t="s">
        <v>126</v>
      </c>
      <c r="B119" s="2" t="s">
        <v>509</v>
      </c>
      <c r="C119" s="2" t="str">
        <f>_xlfn.XLOOKUP(Table24[[#This Row],[ProductName]],Table4[Product name],Table4[Category],"Not Found",0)</f>
        <v>Electronics</v>
      </c>
      <c r="D119" s="2">
        <v>64</v>
      </c>
      <c r="E119" s="2">
        <v>41</v>
      </c>
      <c r="F119" s="2" t="str" cm="1">
        <f t="array" ref="F119">_xlfn.IFS(Table24[[#This Row],[QuantityInStock]]&lt;=Table24[[#This Row],[ReorderPoint]],"Low Stock",Table24[[#This Row],[QuantityInStock]]&gt;Table24[[#This Row],[ReorderPoint]],"Adequate Stock",Table24[[#This Row],[QuantityInStock]]=0,"Out Of Stock")</f>
        <v>Adequate Stock</v>
      </c>
      <c r="G119" s="2" t="s">
        <v>518</v>
      </c>
      <c r="H119" s="2" t="s">
        <v>522</v>
      </c>
      <c r="I119" s="2">
        <v>14</v>
      </c>
      <c r="J119" s="2" t="s">
        <v>524</v>
      </c>
      <c r="K119" s="2">
        <v>189.01</v>
      </c>
      <c r="L119" s="2">
        <f>Table24[[#This Row],[QuantityInStock]]*Table24[[#This Row],[UnitCost]]</f>
        <v>12096.64</v>
      </c>
    </row>
    <row r="120" spans="1:12" x14ac:dyDescent="0.3">
      <c r="A120" s="2" t="s">
        <v>127</v>
      </c>
      <c r="B120" s="2" t="s">
        <v>513</v>
      </c>
      <c r="C120" s="2" t="str">
        <f>_xlfn.XLOOKUP(Table24[[#This Row],[ProductName]],Table4[Product name],Table4[Category],"Not Found",0)</f>
        <v>Electronics</v>
      </c>
      <c r="D120" s="2">
        <v>3</v>
      </c>
      <c r="E120" s="2">
        <v>97</v>
      </c>
      <c r="F120" s="2" t="str" cm="1">
        <f t="array" ref="F120">_xlfn.IFS(Table24[[#This Row],[QuantityInStock]]&lt;=Table24[[#This Row],[ReorderPoint]],"Low Stock",Table24[[#This Row],[QuantityInStock]]&gt;Table24[[#This Row],[ReorderPoint]],"Adequate Stock",Table24[[#This Row],[QuantityInStock]]=0,"Out Of Stock")</f>
        <v>Low Stock</v>
      </c>
      <c r="G120" s="2" t="s">
        <v>516</v>
      </c>
      <c r="H120" s="2" t="s">
        <v>520</v>
      </c>
      <c r="I120" s="2">
        <v>8</v>
      </c>
      <c r="J120" s="2" t="s">
        <v>526</v>
      </c>
      <c r="K120" s="2">
        <v>116.13</v>
      </c>
      <c r="L120" s="2">
        <f>Table24[[#This Row],[QuantityInStock]]*Table24[[#This Row],[UnitCost]]</f>
        <v>348.39</v>
      </c>
    </row>
    <row r="121" spans="1:12" x14ac:dyDescent="0.3">
      <c r="A121" s="2" t="s">
        <v>128</v>
      </c>
      <c r="B121" s="2" t="s">
        <v>509</v>
      </c>
      <c r="C121" s="2" t="str">
        <f>_xlfn.XLOOKUP(Table24[[#This Row],[ProductName]],Table4[Product name],Table4[Category],"Not Found",0)</f>
        <v>Electronics</v>
      </c>
      <c r="D121" s="2">
        <v>449</v>
      </c>
      <c r="E121" s="2">
        <v>67</v>
      </c>
      <c r="F121" s="2" t="str" cm="1">
        <f t="array" ref="F121">_xlfn.IFS(Table24[[#This Row],[QuantityInStock]]&lt;=Table24[[#This Row],[ReorderPoint]],"Low Stock",Table24[[#This Row],[QuantityInStock]]&gt;Table24[[#This Row],[ReorderPoint]],"Adequate Stock",Table24[[#This Row],[QuantityInStock]]=0,"Out Of Stock")</f>
        <v>Adequate Stock</v>
      </c>
      <c r="G121" s="2" t="s">
        <v>518</v>
      </c>
      <c r="H121" s="2" t="s">
        <v>522</v>
      </c>
      <c r="I121" s="2">
        <v>19</v>
      </c>
      <c r="J121" s="2" t="s">
        <v>527</v>
      </c>
      <c r="K121" s="2">
        <v>198.55</v>
      </c>
      <c r="L121" s="2">
        <f>Table24[[#This Row],[QuantityInStock]]*Table24[[#This Row],[UnitCost]]</f>
        <v>89148.950000000012</v>
      </c>
    </row>
    <row r="122" spans="1:12" x14ac:dyDescent="0.3">
      <c r="A122" s="2" t="s">
        <v>129</v>
      </c>
      <c r="B122" s="2" t="s">
        <v>510</v>
      </c>
      <c r="C122" s="2" t="str">
        <f>_xlfn.XLOOKUP(Table24[[#This Row],[ProductName]],Table4[Product name],Table4[Category],"Not Found",0)</f>
        <v>Electronics</v>
      </c>
      <c r="D122" s="2">
        <v>247</v>
      </c>
      <c r="E122" s="2">
        <v>23</v>
      </c>
      <c r="F122" s="2" t="str" cm="1">
        <f t="array" ref="F122">_xlfn.IFS(Table24[[#This Row],[QuantityInStock]]&lt;=Table24[[#This Row],[ReorderPoint]],"Low Stock",Table24[[#This Row],[QuantityInStock]]&gt;Table24[[#This Row],[ReorderPoint]],"Adequate Stock",Table24[[#This Row],[QuantityInStock]]=0,"Out Of Stock")</f>
        <v>Adequate Stock</v>
      </c>
      <c r="G122" s="2" t="s">
        <v>516</v>
      </c>
      <c r="H122" s="2" t="s">
        <v>520</v>
      </c>
      <c r="I122" s="2">
        <v>10</v>
      </c>
      <c r="J122" s="2" t="s">
        <v>528</v>
      </c>
      <c r="K122" s="2">
        <v>185.85</v>
      </c>
      <c r="L122" s="2">
        <f>Table24[[#This Row],[QuantityInStock]]*Table24[[#This Row],[UnitCost]]</f>
        <v>45904.95</v>
      </c>
    </row>
    <row r="123" spans="1:12" x14ac:dyDescent="0.3">
      <c r="A123" s="2" t="s">
        <v>130</v>
      </c>
      <c r="B123" s="2" t="s">
        <v>513</v>
      </c>
      <c r="C123" s="2" t="str">
        <f>_xlfn.XLOOKUP(Table24[[#This Row],[ProductName]],Table4[Product name],Table4[Category],"Not Found",0)</f>
        <v>Electronics</v>
      </c>
      <c r="D123" s="2">
        <v>368</v>
      </c>
      <c r="E123" s="2">
        <v>94</v>
      </c>
      <c r="F123" s="2" t="str" cm="1">
        <f t="array" ref="F123">_xlfn.IFS(Table24[[#This Row],[QuantityInStock]]&lt;=Table24[[#This Row],[ReorderPoint]],"Low Stock",Table24[[#This Row],[QuantityInStock]]&gt;Table24[[#This Row],[ReorderPoint]],"Adequate Stock",Table24[[#This Row],[QuantityInStock]]=0,"Out Of Stock")</f>
        <v>Adequate Stock</v>
      </c>
      <c r="G123" s="2" t="s">
        <v>517</v>
      </c>
      <c r="H123" s="2" t="s">
        <v>521</v>
      </c>
      <c r="I123" s="2">
        <v>14</v>
      </c>
      <c r="J123" s="2" t="s">
        <v>528</v>
      </c>
      <c r="K123" s="2">
        <v>110.9</v>
      </c>
      <c r="L123" s="2">
        <f>Table24[[#This Row],[QuantityInStock]]*Table24[[#This Row],[UnitCost]]</f>
        <v>40811.200000000004</v>
      </c>
    </row>
    <row r="124" spans="1:12" x14ac:dyDescent="0.3">
      <c r="A124" s="2" t="s">
        <v>131</v>
      </c>
      <c r="B124" s="2" t="s">
        <v>511</v>
      </c>
      <c r="C124" s="2" t="str">
        <f>_xlfn.XLOOKUP(Table24[[#This Row],[ProductName]],Table4[Product name],Table4[Category],"Not Found",0)</f>
        <v>Electronics</v>
      </c>
      <c r="D124" s="2">
        <v>70</v>
      </c>
      <c r="E124" s="2">
        <v>31</v>
      </c>
      <c r="F124" s="2" t="str" cm="1">
        <f t="array" ref="F124">_xlfn.IFS(Table24[[#This Row],[QuantityInStock]]&lt;=Table24[[#This Row],[ReorderPoint]],"Low Stock",Table24[[#This Row],[QuantityInStock]]&gt;Table24[[#This Row],[ReorderPoint]],"Adequate Stock",Table24[[#This Row],[QuantityInStock]]=0,"Out Of Stock")</f>
        <v>Adequate Stock</v>
      </c>
      <c r="G124" s="2" t="s">
        <v>517</v>
      </c>
      <c r="H124" s="2" t="s">
        <v>521</v>
      </c>
      <c r="I124" s="2">
        <v>16</v>
      </c>
      <c r="J124" s="2" t="s">
        <v>526</v>
      </c>
      <c r="K124" s="2">
        <v>118.56</v>
      </c>
      <c r="L124" s="2">
        <f>Table24[[#This Row],[QuantityInStock]]*Table24[[#This Row],[UnitCost]]</f>
        <v>8299.2000000000007</v>
      </c>
    </row>
    <row r="125" spans="1:12" x14ac:dyDescent="0.3">
      <c r="A125" s="2" t="s">
        <v>132</v>
      </c>
      <c r="B125" s="2" t="s">
        <v>514</v>
      </c>
      <c r="C125" s="2" t="str">
        <f>_xlfn.XLOOKUP(Table24[[#This Row],[ProductName]],Table4[Product name],Table4[Category],"Not Found",0)</f>
        <v>Furniture</v>
      </c>
      <c r="D125" s="2">
        <v>72</v>
      </c>
      <c r="E125" s="2">
        <v>86</v>
      </c>
      <c r="F125" s="2" t="str" cm="1">
        <f t="array" ref="F125">_xlfn.IFS(Table24[[#This Row],[QuantityInStock]]&lt;=Table24[[#This Row],[ReorderPoint]],"Low Stock",Table24[[#This Row],[QuantityInStock]]&gt;Table24[[#This Row],[ReorderPoint]],"Adequate Stock",Table24[[#This Row],[QuantityInStock]]=0,"Out Of Stock")</f>
        <v>Low Stock</v>
      </c>
      <c r="G125" s="2" t="s">
        <v>516</v>
      </c>
      <c r="H125" s="2" t="s">
        <v>520</v>
      </c>
      <c r="I125" s="2">
        <v>18</v>
      </c>
      <c r="J125" s="2" t="s">
        <v>528</v>
      </c>
      <c r="K125" s="2">
        <v>50.02</v>
      </c>
      <c r="L125" s="2">
        <f>Table24[[#This Row],[QuantityInStock]]*Table24[[#This Row],[UnitCost]]</f>
        <v>3601.44</v>
      </c>
    </row>
    <row r="126" spans="1:12" x14ac:dyDescent="0.3">
      <c r="A126" s="2" t="s">
        <v>133</v>
      </c>
      <c r="B126" s="2" t="s">
        <v>513</v>
      </c>
      <c r="C126" s="2" t="str">
        <f>_xlfn.XLOOKUP(Table24[[#This Row],[ProductName]],Table4[Product name],Table4[Category],"Not Found",0)</f>
        <v>Electronics</v>
      </c>
      <c r="D126" s="2">
        <v>434</v>
      </c>
      <c r="E126" s="2">
        <v>96</v>
      </c>
      <c r="F126" s="2" t="str" cm="1">
        <f t="array" ref="F126">_xlfn.IFS(Table24[[#This Row],[QuantityInStock]]&lt;=Table24[[#This Row],[ReorderPoint]],"Low Stock",Table24[[#This Row],[QuantityInStock]]&gt;Table24[[#This Row],[ReorderPoint]],"Adequate Stock",Table24[[#This Row],[QuantityInStock]]=0,"Out Of Stock")</f>
        <v>Adequate Stock</v>
      </c>
      <c r="G126" s="2" t="s">
        <v>519</v>
      </c>
      <c r="H126" s="2" t="s">
        <v>523</v>
      </c>
      <c r="I126" s="2">
        <v>12</v>
      </c>
      <c r="J126" s="2" t="s">
        <v>526</v>
      </c>
      <c r="K126" s="2">
        <v>35.799999999999997</v>
      </c>
      <c r="L126" s="2">
        <f>Table24[[#This Row],[QuantityInStock]]*Table24[[#This Row],[UnitCost]]</f>
        <v>15537.199999999999</v>
      </c>
    </row>
    <row r="127" spans="1:12" x14ac:dyDescent="0.3">
      <c r="A127" s="2" t="s">
        <v>134</v>
      </c>
      <c r="B127" s="2" t="s">
        <v>510</v>
      </c>
      <c r="C127" s="2" t="str">
        <f>_xlfn.XLOOKUP(Table24[[#This Row],[ProductName]],Table4[Product name],Table4[Category],"Not Found",0)</f>
        <v>Electronics</v>
      </c>
      <c r="D127" s="2">
        <v>467</v>
      </c>
      <c r="E127" s="2">
        <v>70</v>
      </c>
      <c r="F127" s="2" t="str" cm="1">
        <f t="array" ref="F127">_xlfn.IFS(Table24[[#This Row],[QuantityInStock]]&lt;=Table24[[#This Row],[ReorderPoint]],"Low Stock",Table24[[#This Row],[QuantityInStock]]&gt;Table24[[#This Row],[ReorderPoint]],"Adequate Stock",Table24[[#This Row],[QuantityInStock]]=0,"Out Of Stock")</f>
        <v>Adequate Stock</v>
      </c>
      <c r="G127" s="2" t="s">
        <v>517</v>
      </c>
      <c r="H127" s="2" t="s">
        <v>521</v>
      </c>
      <c r="I127" s="2">
        <v>12</v>
      </c>
      <c r="J127" s="2" t="s">
        <v>526</v>
      </c>
      <c r="K127" s="2">
        <v>55.94</v>
      </c>
      <c r="L127" s="2">
        <f>Table24[[#This Row],[QuantityInStock]]*Table24[[#This Row],[UnitCost]]</f>
        <v>26123.98</v>
      </c>
    </row>
    <row r="128" spans="1:12" x14ac:dyDescent="0.3">
      <c r="A128" s="2" t="s">
        <v>135</v>
      </c>
      <c r="B128" s="2" t="s">
        <v>514</v>
      </c>
      <c r="C128" s="2" t="str">
        <f>_xlfn.XLOOKUP(Table24[[#This Row],[ProductName]],Table4[Product name],Table4[Category],"Not Found",0)</f>
        <v>Furniture</v>
      </c>
      <c r="D128" s="2">
        <v>135</v>
      </c>
      <c r="E128" s="2">
        <v>79</v>
      </c>
      <c r="F128" s="2" t="str" cm="1">
        <f t="array" ref="F128">_xlfn.IFS(Table24[[#This Row],[QuantityInStock]]&lt;=Table24[[#This Row],[ReorderPoint]],"Low Stock",Table24[[#This Row],[QuantityInStock]]&gt;Table24[[#This Row],[ReorderPoint]],"Adequate Stock",Table24[[#This Row],[QuantityInStock]]=0,"Out Of Stock")</f>
        <v>Adequate Stock</v>
      </c>
      <c r="G128" s="2" t="s">
        <v>518</v>
      </c>
      <c r="H128" s="2" t="s">
        <v>522</v>
      </c>
      <c r="I128" s="2">
        <v>15</v>
      </c>
      <c r="J128" s="2" t="s">
        <v>528</v>
      </c>
      <c r="K128" s="2">
        <v>64.23</v>
      </c>
      <c r="L128" s="2">
        <f>Table24[[#This Row],[QuantityInStock]]*Table24[[#This Row],[UnitCost]]</f>
        <v>8671.0500000000011</v>
      </c>
    </row>
    <row r="129" spans="1:12" x14ac:dyDescent="0.3">
      <c r="A129" s="2" t="s">
        <v>136</v>
      </c>
      <c r="B129" s="2" t="s">
        <v>509</v>
      </c>
      <c r="C129" s="2" t="str">
        <f>_xlfn.XLOOKUP(Table24[[#This Row],[ProductName]],Table4[Product name],Table4[Category],"Not Found",0)</f>
        <v>Electronics</v>
      </c>
      <c r="D129" s="2">
        <v>429</v>
      </c>
      <c r="E129" s="2">
        <v>48</v>
      </c>
      <c r="F129" s="2" t="str" cm="1">
        <f t="array" ref="F129">_xlfn.IFS(Table24[[#This Row],[QuantityInStock]]&lt;=Table24[[#This Row],[ReorderPoint]],"Low Stock",Table24[[#This Row],[QuantityInStock]]&gt;Table24[[#This Row],[ReorderPoint]],"Adequate Stock",Table24[[#This Row],[QuantityInStock]]=0,"Out Of Stock")</f>
        <v>Adequate Stock</v>
      </c>
      <c r="G129" s="2" t="s">
        <v>517</v>
      </c>
      <c r="H129" s="2" t="s">
        <v>521</v>
      </c>
      <c r="I129" s="2">
        <v>14</v>
      </c>
      <c r="J129" s="2" t="s">
        <v>525</v>
      </c>
      <c r="K129" s="2">
        <v>135.12</v>
      </c>
      <c r="L129" s="2">
        <f>Table24[[#This Row],[QuantityInStock]]*Table24[[#This Row],[UnitCost]]</f>
        <v>57966.48</v>
      </c>
    </row>
    <row r="130" spans="1:12" x14ac:dyDescent="0.3">
      <c r="A130" s="2" t="s">
        <v>137</v>
      </c>
      <c r="B130" s="2" t="s">
        <v>511</v>
      </c>
      <c r="C130" s="2" t="str">
        <f>_xlfn.XLOOKUP(Table24[[#This Row],[ProductName]],Table4[Product name],Table4[Category],"Not Found",0)</f>
        <v>Electronics</v>
      </c>
      <c r="D130" s="2">
        <v>109</v>
      </c>
      <c r="E130" s="2">
        <v>84</v>
      </c>
      <c r="F130" s="2" t="str" cm="1">
        <f t="array" ref="F130">_xlfn.IFS(Table24[[#This Row],[QuantityInStock]]&lt;=Table24[[#This Row],[ReorderPoint]],"Low Stock",Table24[[#This Row],[QuantityInStock]]&gt;Table24[[#This Row],[ReorderPoint]],"Adequate Stock",Table24[[#This Row],[QuantityInStock]]=0,"Out Of Stock")</f>
        <v>Adequate Stock</v>
      </c>
      <c r="G130" s="2" t="s">
        <v>518</v>
      </c>
      <c r="H130" s="2" t="s">
        <v>522</v>
      </c>
      <c r="I130" s="2">
        <v>8</v>
      </c>
      <c r="J130" s="2" t="s">
        <v>527</v>
      </c>
      <c r="K130" s="2">
        <v>139.91</v>
      </c>
      <c r="L130" s="2">
        <f>Table24[[#This Row],[QuantityInStock]]*Table24[[#This Row],[UnitCost]]</f>
        <v>15250.19</v>
      </c>
    </row>
    <row r="131" spans="1:12" x14ac:dyDescent="0.3">
      <c r="A131" s="2" t="s">
        <v>138</v>
      </c>
      <c r="B131" s="2" t="s">
        <v>512</v>
      </c>
      <c r="C131" s="2" t="str">
        <f>_xlfn.XLOOKUP(Table24[[#This Row],[ProductName]],Table4[Product name],Table4[Category],"Not Found",0)</f>
        <v>Furniture</v>
      </c>
      <c r="D131" s="2">
        <v>324</v>
      </c>
      <c r="E131" s="2">
        <v>93</v>
      </c>
      <c r="F131" s="2" t="str" cm="1">
        <f t="array" ref="F131">_xlfn.IFS(Table24[[#This Row],[QuantityInStock]]&lt;=Table24[[#This Row],[ReorderPoint]],"Low Stock",Table24[[#This Row],[QuantityInStock]]&gt;Table24[[#This Row],[ReorderPoint]],"Adequate Stock",Table24[[#This Row],[QuantityInStock]]=0,"Out Of Stock")</f>
        <v>Adequate Stock</v>
      </c>
      <c r="G131" s="2" t="s">
        <v>519</v>
      </c>
      <c r="H131" s="2" t="s">
        <v>523</v>
      </c>
      <c r="I131" s="2">
        <v>3</v>
      </c>
      <c r="J131" s="2" t="s">
        <v>526</v>
      </c>
      <c r="K131" s="2">
        <v>194.56</v>
      </c>
      <c r="L131" s="2">
        <f>Table24[[#This Row],[QuantityInStock]]*Table24[[#This Row],[UnitCost]]</f>
        <v>63037.440000000002</v>
      </c>
    </row>
    <row r="132" spans="1:12" x14ac:dyDescent="0.3">
      <c r="A132" s="2" t="s">
        <v>139</v>
      </c>
      <c r="B132" s="2" t="s">
        <v>515</v>
      </c>
      <c r="C132" s="2" t="str">
        <f>_xlfn.XLOOKUP(Table24[[#This Row],[ProductName]],Table4[Product name],Table4[Category],"Not Found",0)</f>
        <v>Electronics</v>
      </c>
      <c r="D132" s="2">
        <v>90</v>
      </c>
      <c r="E132" s="2">
        <v>90</v>
      </c>
      <c r="F132" s="2" t="str" cm="1">
        <f t="array" ref="F132">_xlfn.IFS(Table24[[#This Row],[QuantityInStock]]&lt;=Table24[[#This Row],[ReorderPoint]],"Low Stock",Table24[[#This Row],[QuantityInStock]]&gt;Table24[[#This Row],[ReorderPoint]],"Adequate Stock",Table24[[#This Row],[QuantityInStock]]=0,"Out Of Stock")</f>
        <v>Low Stock</v>
      </c>
      <c r="G132" s="2" t="s">
        <v>519</v>
      </c>
      <c r="H132" s="2" t="s">
        <v>523</v>
      </c>
      <c r="I132" s="2">
        <v>7</v>
      </c>
      <c r="J132" s="2" t="s">
        <v>528</v>
      </c>
      <c r="K132" s="2">
        <v>91.27</v>
      </c>
      <c r="L132" s="2">
        <f>Table24[[#This Row],[QuantityInStock]]*Table24[[#This Row],[UnitCost]]</f>
        <v>8214.2999999999993</v>
      </c>
    </row>
    <row r="133" spans="1:12" x14ac:dyDescent="0.3">
      <c r="A133" s="2" t="s">
        <v>140</v>
      </c>
      <c r="B133" s="2" t="s">
        <v>512</v>
      </c>
      <c r="C133" s="2" t="str">
        <f>_xlfn.XLOOKUP(Table24[[#This Row],[ProductName]],Table4[Product name],Table4[Category],"Not Found",0)</f>
        <v>Furniture</v>
      </c>
      <c r="D133" s="2">
        <v>380</v>
      </c>
      <c r="E133" s="2">
        <v>29</v>
      </c>
      <c r="F133" s="2" t="str" cm="1">
        <f t="array" ref="F133">_xlfn.IFS(Table24[[#This Row],[QuantityInStock]]&lt;=Table24[[#This Row],[ReorderPoint]],"Low Stock",Table24[[#This Row],[QuantityInStock]]&gt;Table24[[#This Row],[ReorderPoint]],"Adequate Stock",Table24[[#This Row],[QuantityInStock]]=0,"Out Of Stock")</f>
        <v>Adequate Stock</v>
      </c>
      <c r="G133" s="2" t="s">
        <v>517</v>
      </c>
      <c r="H133" s="2" t="s">
        <v>521</v>
      </c>
      <c r="I133" s="2">
        <v>19</v>
      </c>
      <c r="J133" s="2" t="s">
        <v>528</v>
      </c>
      <c r="K133" s="2">
        <v>51.95</v>
      </c>
      <c r="L133" s="2">
        <f>Table24[[#This Row],[QuantityInStock]]*Table24[[#This Row],[UnitCost]]</f>
        <v>19741</v>
      </c>
    </row>
    <row r="134" spans="1:12" x14ac:dyDescent="0.3">
      <c r="A134" s="2" t="s">
        <v>141</v>
      </c>
      <c r="B134" s="2" t="s">
        <v>511</v>
      </c>
      <c r="C134" s="2" t="str">
        <f>_xlfn.XLOOKUP(Table24[[#This Row],[ProductName]],Table4[Product name],Table4[Category],"Not Found",0)</f>
        <v>Electronics</v>
      </c>
      <c r="D134" s="2">
        <v>340</v>
      </c>
      <c r="E134" s="2">
        <v>48</v>
      </c>
      <c r="F134" s="2" t="str" cm="1">
        <f t="array" ref="F134">_xlfn.IFS(Table24[[#This Row],[QuantityInStock]]&lt;=Table24[[#This Row],[ReorderPoint]],"Low Stock",Table24[[#This Row],[QuantityInStock]]&gt;Table24[[#This Row],[ReorderPoint]],"Adequate Stock",Table24[[#This Row],[QuantityInStock]]=0,"Out Of Stock")</f>
        <v>Adequate Stock</v>
      </c>
      <c r="G134" s="2" t="s">
        <v>516</v>
      </c>
      <c r="H134" s="2" t="s">
        <v>520</v>
      </c>
      <c r="I134" s="2">
        <v>4</v>
      </c>
      <c r="J134" s="2" t="s">
        <v>525</v>
      </c>
      <c r="K134" s="2">
        <v>50.55</v>
      </c>
      <c r="L134" s="2">
        <f>Table24[[#This Row],[QuantityInStock]]*Table24[[#This Row],[UnitCost]]</f>
        <v>17187</v>
      </c>
    </row>
    <row r="135" spans="1:12" x14ac:dyDescent="0.3">
      <c r="A135" s="2" t="s">
        <v>142</v>
      </c>
      <c r="B135" s="2" t="s">
        <v>511</v>
      </c>
      <c r="C135" s="2" t="str">
        <f>_xlfn.XLOOKUP(Table24[[#This Row],[ProductName]],Table4[Product name],Table4[Category],"Not Found",0)</f>
        <v>Electronics</v>
      </c>
      <c r="D135" s="2">
        <v>82</v>
      </c>
      <c r="E135" s="2">
        <v>98</v>
      </c>
      <c r="F135" s="2" t="str" cm="1">
        <f t="array" ref="F135">_xlfn.IFS(Table24[[#This Row],[QuantityInStock]]&lt;=Table24[[#This Row],[ReorderPoint]],"Low Stock",Table24[[#This Row],[QuantityInStock]]&gt;Table24[[#This Row],[ReorderPoint]],"Adequate Stock",Table24[[#This Row],[QuantityInStock]]=0,"Out Of Stock")</f>
        <v>Low Stock</v>
      </c>
      <c r="G135" s="2" t="s">
        <v>518</v>
      </c>
      <c r="H135" s="2" t="s">
        <v>522</v>
      </c>
      <c r="I135" s="2">
        <v>7</v>
      </c>
      <c r="J135" s="2" t="s">
        <v>524</v>
      </c>
      <c r="K135" s="2">
        <v>83.69</v>
      </c>
      <c r="L135" s="2">
        <f>Table24[[#This Row],[QuantityInStock]]*Table24[[#This Row],[UnitCost]]</f>
        <v>6862.58</v>
      </c>
    </row>
    <row r="136" spans="1:12" x14ac:dyDescent="0.3">
      <c r="A136" s="2" t="s">
        <v>143</v>
      </c>
      <c r="B136" s="2" t="s">
        <v>509</v>
      </c>
      <c r="C136" s="2" t="str">
        <f>_xlfn.XLOOKUP(Table24[[#This Row],[ProductName]],Table4[Product name],Table4[Category],"Not Found",0)</f>
        <v>Electronics</v>
      </c>
      <c r="D136" s="2">
        <v>0</v>
      </c>
      <c r="E136" s="2">
        <v>98</v>
      </c>
      <c r="F136" s="2" t="str" cm="1">
        <f t="array" ref="F136">_xlfn.IFS(Table24[[#This Row],[QuantityInStock]]&lt;=Table24[[#This Row],[ReorderPoint]],"Low Stock",Table24[[#This Row],[QuantityInStock]]&gt;Table24[[#This Row],[ReorderPoint]],"Adequate Stock",Table24[[#This Row],[QuantityInStock]]=0,"Out Of Stock")</f>
        <v>Low Stock</v>
      </c>
      <c r="G136" s="2" t="s">
        <v>518</v>
      </c>
      <c r="H136" s="2" t="s">
        <v>522</v>
      </c>
      <c r="I136" s="2">
        <v>16</v>
      </c>
      <c r="J136" s="2" t="s">
        <v>525</v>
      </c>
      <c r="K136" s="2">
        <v>178.12</v>
      </c>
      <c r="L136" s="2">
        <f>Table24[[#This Row],[QuantityInStock]]*Table24[[#This Row],[UnitCost]]</f>
        <v>0</v>
      </c>
    </row>
    <row r="137" spans="1:12" x14ac:dyDescent="0.3">
      <c r="A137" s="2" t="s">
        <v>144</v>
      </c>
      <c r="B137" s="2" t="s">
        <v>510</v>
      </c>
      <c r="C137" s="2" t="str">
        <f>_xlfn.XLOOKUP(Table24[[#This Row],[ProductName]],Table4[Product name],Table4[Category],"Not Found",0)</f>
        <v>Electronics</v>
      </c>
      <c r="D137" s="2">
        <v>242</v>
      </c>
      <c r="E137" s="2">
        <v>61</v>
      </c>
      <c r="F137" s="2" t="str" cm="1">
        <f t="array" ref="F137">_xlfn.IFS(Table24[[#This Row],[QuantityInStock]]&lt;=Table24[[#This Row],[ReorderPoint]],"Low Stock",Table24[[#This Row],[QuantityInStock]]&gt;Table24[[#This Row],[ReorderPoint]],"Adequate Stock",Table24[[#This Row],[QuantityInStock]]=0,"Out Of Stock")</f>
        <v>Adequate Stock</v>
      </c>
      <c r="G137" s="2" t="s">
        <v>517</v>
      </c>
      <c r="H137" s="2" t="s">
        <v>521</v>
      </c>
      <c r="I137" s="2">
        <v>14</v>
      </c>
      <c r="J137" s="2" t="s">
        <v>524</v>
      </c>
      <c r="K137" s="2">
        <v>118.66</v>
      </c>
      <c r="L137" s="2">
        <f>Table24[[#This Row],[QuantityInStock]]*Table24[[#This Row],[UnitCost]]</f>
        <v>28715.719999999998</v>
      </c>
    </row>
    <row r="138" spans="1:12" x14ac:dyDescent="0.3">
      <c r="A138" s="2" t="s">
        <v>145</v>
      </c>
      <c r="B138" s="2" t="s">
        <v>510</v>
      </c>
      <c r="C138" s="2" t="str">
        <f>_xlfn.XLOOKUP(Table24[[#This Row],[ProductName]],Table4[Product name],Table4[Category],"Not Found",0)</f>
        <v>Electronics</v>
      </c>
      <c r="D138" s="2">
        <v>403</v>
      </c>
      <c r="E138" s="2">
        <v>99</v>
      </c>
      <c r="F138" s="2" t="str" cm="1">
        <f t="array" ref="F138">_xlfn.IFS(Table24[[#This Row],[QuantityInStock]]&lt;=Table24[[#This Row],[ReorderPoint]],"Low Stock",Table24[[#This Row],[QuantityInStock]]&gt;Table24[[#This Row],[ReorderPoint]],"Adequate Stock",Table24[[#This Row],[QuantityInStock]]=0,"Out Of Stock")</f>
        <v>Adequate Stock</v>
      </c>
      <c r="G138" s="2" t="s">
        <v>517</v>
      </c>
      <c r="H138" s="2" t="s">
        <v>521</v>
      </c>
      <c r="I138" s="2">
        <v>7</v>
      </c>
      <c r="J138" s="2" t="s">
        <v>528</v>
      </c>
      <c r="K138" s="2">
        <v>156.72</v>
      </c>
      <c r="L138" s="2">
        <f>Table24[[#This Row],[QuantityInStock]]*Table24[[#This Row],[UnitCost]]</f>
        <v>63158.159999999996</v>
      </c>
    </row>
    <row r="139" spans="1:12" x14ac:dyDescent="0.3">
      <c r="A139" s="2" t="s">
        <v>146</v>
      </c>
      <c r="B139" s="2" t="s">
        <v>512</v>
      </c>
      <c r="C139" s="2" t="str">
        <f>_xlfn.XLOOKUP(Table24[[#This Row],[ProductName]],Table4[Product name],Table4[Category],"Not Found",0)</f>
        <v>Furniture</v>
      </c>
      <c r="D139" s="2">
        <v>301</v>
      </c>
      <c r="E139" s="2">
        <v>52</v>
      </c>
      <c r="F139" s="2" t="str" cm="1">
        <f t="array" ref="F139">_xlfn.IFS(Table24[[#This Row],[QuantityInStock]]&lt;=Table24[[#This Row],[ReorderPoint]],"Low Stock",Table24[[#This Row],[QuantityInStock]]&gt;Table24[[#This Row],[ReorderPoint]],"Adequate Stock",Table24[[#This Row],[QuantityInStock]]=0,"Out Of Stock")</f>
        <v>Adequate Stock</v>
      </c>
      <c r="G139" s="2" t="s">
        <v>517</v>
      </c>
      <c r="H139" s="2" t="s">
        <v>521</v>
      </c>
      <c r="I139" s="2">
        <v>4</v>
      </c>
      <c r="J139" s="2" t="s">
        <v>525</v>
      </c>
      <c r="K139" s="2">
        <v>68.489999999999995</v>
      </c>
      <c r="L139" s="2">
        <f>Table24[[#This Row],[QuantityInStock]]*Table24[[#This Row],[UnitCost]]</f>
        <v>20615.489999999998</v>
      </c>
    </row>
    <row r="140" spans="1:12" x14ac:dyDescent="0.3">
      <c r="A140" s="2" t="s">
        <v>147</v>
      </c>
      <c r="B140" s="2" t="s">
        <v>514</v>
      </c>
      <c r="C140" s="2" t="str">
        <f>_xlfn.XLOOKUP(Table24[[#This Row],[ProductName]],Table4[Product name],Table4[Category],"Not Found",0)</f>
        <v>Furniture</v>
      </c>
      <c r="D140" s="2">
        <v>92</v>
      </c>
      <c r="E140" s="2">
        <v>83</v>
      </c>
      <c r="F140" s="2" t="str" cm="1">
        <f t="array" ref="F140">_xlfn.IFS(Table24[[#This Row],[QuantityInStock]]&lt;=Table24[[#This Row],[ReorderPoint]],"Low Stock",Table24[[#This Row],[QuantityInStock]]&gt;Table24[[#This Row],[ReorderPoint]],"Adequate Stock",Table24[[#This Row],[QuantityInStock]]=0,"Out Of Stock")</f>
        <v>Adequate Stock</v>
      </c>
      <c r="G140" s="2" t="s">
        <v>518</v>
      </c>
      <c r="H140" s="2" t="s">
        <v>522</v>
      </c>
      <c r="I140" s="2">
        <v>3</v>
      </c>
      <c r="J140" s="2" t="s">
        <v>524</v>
      </c>
      <c r="K140" s="2">
        <v>21.68</v>
      </c>
      <c r="L140" s="2">
        <f>Table24[[#This Row],[QuantityInStock]]*Table24[[#This Row],[UnitCost]]</f>
        <v>1994.56</v>
      </c>
    </row>
    <row r="141" spans="1:12" x14ac:dyDescent="0.3">
      <c r="A141" s="2" t="s">
        <v>148</v>
      </c>
      <c r="B141" s="2" t="s">
        <v>510</v>
      </c>
      <c r="C141" s="2" t="str">
        <f>_xlfn.XLOOKUP(Table24[[#This Row],[ProductName]],Table4[Product name],Table4[Category],"Not Found",0)</f>
        <v>Electronics</v>
      </c>
      <c r="D141" s="2">
        <v>453</v>
      </c>
      <c r="E141" s="2">
        <v>94</v>
      </c>
      <c r="F141" s="2" t="str" cm="1">
        <f t="array" ref="F141">_xlfn.IFS(Table24[[#This Row],[QuantityInStock]]&lt;=Table24[[#This Row],[ReorderPoint]],"Low Stock",Table24[[#This Row],[QuantityInStock]]&gt;Table24[[#This Row],[ReorderPoint]],"Adequate Stock",Table24[[#This Row],[QuantityInStock]]=0,"Out Of Stock")</f>
        <v>Adequate Stock</v>
      </c>
      <c r="G141" s="2" t="s">
        <v>516</v>
      </c>
      <c r="H141" s="2" t="s">
        <v>520</v>
      </c>
      <c r="I141" s="2">
        <v>17</v>
      </c>
      <c r="J141" s="2" t="s">
        <v>528</v>
      </c>
      <c r="K141" s="2">
        <v>8.67</v>
      </c>
      <c r="L141" s="2">
        <f>Table24[[#This Row],[QuantityInStock]]*Table24[[#This Row],[UnitCost]]</f>
        <v>3927.5099999999998</v>
      </c>
    </row>
    <row r="142" spans="1:12" x14ac:dyDescent="0.3">
      <c r="A142" s="2" t="s">
        <v>149</v>
      </c>
      <c r="B142" s="2" t="s">
        <v>510</v>
      </c>
      <c r="C142" s="2" t="str">
        <f>_xlfn.XLOOKUP(Table24[[#This Row],[ProductName]],Table4[Product name],Table4[Category],"Not Found",0)</f>
        <v>Electronics</v>
      </c>
      <c r="D142" s="2">
        <v>348</v>
      </c>
      <c r="E142" s="2">
        <v>48</v>
      </c>
      <c r="F142" s="2" t="str" cm="1">
        <f t="array" ref="F142">_xlfn.IFS(Table24[[#This Row],[QuantityInStock]]&lt;=Table24[[#This Row],[ReorderPoint]],"Low Stock",Table24[[#This Row],[QuantityInStock]]&gt;Table24[[#This Row],[ReorderPoint]],"Adequate Stock",Table24[[#This Row],[QuantityInStock]]=0,"Out Of Stock")</f>
        <v>Adequate Stock</v>
      </c>
      <c r="G142" s="2" t="s">
        <v>517</v>
      </c>
      <c r="H142" s="2" t="s">
        <v>521</v>
      </c>
      <c r="I142" s="2">
        <v>18</v>
      </c>
      <c r="J142" s="2" t="s">
        <v>528</v>
      </c>
      <c r="K142" s="2">
        <v>114.6</v>
      </c>
      <c r="L142" s="2">
        <f>Table24[[#This Row],[QuantityInStock]]*Table24[[#This Row],[UnitCost]]</f>
        <v>39880.799999999996</v>
      </c>
    </row>
    <row r="143" spans="1:12" x14ac:dyDescent="0.3">
      <c r="A143" s="2" t="s">
        <v>150</v>
      </c>
      <c r="B143" s="2" t="s">
        <v>513</v>
      </c>
      <c r="C143" s="2" t="str">
        <f>_xlfn.XLOOKUP(Table24[[#This Row],[ProductName]],Table4[Product name],Table4[Category],"Not Found",0)</f>
        <v>Electronics</v>
      </c>
      <c r="D143" s="2">
        <v>128</v>
      </c>
      <c r="E143" s="2">
        <v>82</v>
      </c>
      <c r="F143" s="2" t="str" cm="1">
        <f t="array" ref="F143">_xlfn.IFS(Table24[[#This Row],[QuantityInStock]]&lt;=Table24[[#This Row],[ReorderPoint]],"Low Stock",Table24[[#This Row],[QuantityInStock]]&gt;Table24[[#This Row],[ReorderPoint]],"Adequate Stock",Table24[[#This Row],[QuantityInStock]]=0,"Out Of Stock")</f>
        <v>Adequate Stock</v>
      </c>
      <c r="G143" s="2" t="s">
        <v>518</v>
      </c>
      <c r="H143" s="2" t="s">
        <v>522</v>
      </c>
      <c r="I143" s="2">
        <v>11</v>
      </c>
      <c r="J143" s="2" t="s">
        <v>526</v>
      </c>
      <c r="K143" s="2">
        <v>169.07</v>
      </c>
      <c r="L143" s="2">
        <f>Table24[[#This Row],[QuantityInStock]]*Table24[[#This Row],[UnitCost]]</f>
        <v>21640.959999999999</v>
      </c>
    </row>
    <row r="144" spans="1:12" x14ac:dyDescent="0.3">
      <c r="A144" s="2" t="s">
        <v>151</v>
      </c>
      <c r="B144" s="2" t="s">
        <v>512</v>
      </c>
      <c r="C144" s="2" t="str">
        <f>_xlfn.XLOOKUP(Table24[[#This Row],[ProductName]],Table4[Product name],Table4[Category],"Not Found",0)</f>
        <v>Furniture</v>
      </c>
      <c r="D144" s="2">
        <v>325</v>
      </c>
      <c r="E144" s="2">
        <v>100</v>
      </c>
      <c r="F144" s="2" t="str" cm="1">
        <f t="array" ref="F144">_xlfn.IFS(Table24[[#This Row],[QuantityInStock]]&lt;=Table24[[#This Row],[ReorderPoint]],"Low Stock",Table24[[#This Row],[QuantityInStock]]&gt;Table24[[#This Row],[ReorderPoint]],"Adequate Stock",Table24[[#This Row],[QuantityInStock]]=0,"Out Of Stock")</f>
        <v>Adequate Stock</v>
      </c>
      <c r="G144" s="2" t="s">
        <v>517</v>
      </c>
      <c r="H144" s="2" t="s">
        <v>521</v>
      </c>
      <c r="I144" s="2">
        <v>16</v>
      </c>
      <c r="J144" s="2" t="s">
        <v>526</v>
      </c>
      <c r="K144" s="2">
        <v>86.86</v>
      </c>
      <c r="L144" s="2">
        <f>Table24[[#This Row],[QuantityInStock]]*Table24[[#This Row],[UnitCost]]</f>
        <v>28229.5</v>
      </c>
    </row>
    <row r="145" spans="1:12" x14ac:dyDescent="0.3">
      <c r="A145" s="2" t="s">
        <v>152</v>
      </c>
      <c r="B145" s="2" t="s">
        <v>509</v>
      </c>
      <c r="C145" s="2" t="str">
        <f>_xlfn.XLOOKUP(Table24[[#This Row],[ProductName]],Table4[Product name],Table4[Category],"Not Found",0)</f>
        <v>Electronics</v>
      </c>
      <c r="D145" s="2">
        <v>230</v>
      </c>
      <c r="E145" s="2">
        <v>45</v>
      </c>
      <c r="F145" s="2" t="str" cm="1">
        <f t="array" ref="F145">_xlfn.IFS(Table24[[#This Row],[QuantityInStock]]&lt;=Table24[[#This Row],[ReorderPoint]],"Low Stock",Table24[[#This Row],[QuantityInStock]]&gt;Table24[[#This Row],[ReorderPoint]],"Adequate Stock",Table24[[#This Row],[QuantityInStock]]=0,"Out Of Stock")</f>
        <v>Adequate Stock</v>
      </c>
      <c r="G145" s="2" t="s">
        <v>518</v>
      </c>
      <c r="H145" s="2" t="s">
        <v>522</v>
      </c>
      <c r="I145" s="2">
        <v>9</v>
      </c>
      <c r="J145" s="2" t="s">
        <v>527</v>
      </c>
      <c r="K145" s="2">
        <v>96.41</v>
      </c>
      <c r="L145" s="2">
        <f>Table24[[#This Row],[QuantityInStock]]*Table24[[#This Row],[UnitCost]]</f>
        <v>22174.3</v>
      </c>
    </row>
    <row r="146" spans="1:12" x14ac:dyDescent="0.3">
      <c r="A146" s="2" t="s">
        <v>153</v>
      </c>
      <c r="B146" s="2" t="s">
        <v>513</v>
      </c>
      <c r="C146" s="2" t="str">
        <f>_xlfn.XLOOKUP(Table24[[#This Row],[ProductName]],Table4[Product name],Table4[Category],"Not Found",0)</f>
        <v>Electronics</v>
      </c>
      <c r="D146" s="2">
        <v>108</v>
      </c>
      <c r="E146" s="2">
        <v>45</v>
      </c>
      <c r="F146" s="2" t="str" cm="1">
        <f t="array" ref="F146">_xlfn.IFS(Table24[[#This Row],[QuantityInStock]]&lt;=Table24[[#This Row],[ReorderPoint]],"Low Stock",Table24[[#This Row],[QuantityInStock]]&gt;Table24[[#This Row],[ReorderPoint]],"Adequate Stock",Table24[[#This Row],[QuantityInStock]]=0,"Out Of Stock")</f>
        <v>Adequate Stock</v>
      </c>
      <c r="G146" s="2" t="s">
        <v>518</v>
      </c>
      <c r="H146" s="2" t="s">
        <v>522</v>
      </c>
      <c r="I146" s="2">
        <v>15</v>
      </c>
      <c r="J146" s="2" t="s">
        <v>528</v>
      </c>
      <c r="K146" s="2">
        <v>95.59</v>
      </c>
      <c r="L146" s="2">
        <f>Table24[[#This Row],[QuantityInStock]]*Table24[[#This Row],[UnitCost]]</f>
        <v>10323.720000000001</v>
      </c>
    </row>
    <row r="147" spans="1:12" x14ac:dyDescent="0.3">
      <c r="A147" s="2" t="s">
        <v>154</v>
      </c>
      <c r="B147" s="2" t="s">
        <v>512</v>
      </c>
      <c r="C147" s="2" t="str">
        <f>_xlfn.XLOOKUP(Table24[[#This Row],[ProductName]],Table4[Product name],Table4[Category],"Not Found",0)</f>
        <v>Furniture</v>
      </c>
      <c r="D147" s="2">
        <v>44</v>
      </c>
      <c r="E147" s="2">
        <v>47</v>
      </c>
      <c r="F147" s="2" t="str" cm="1">
        <f t="array" ref="F147">_xlfn.IFS(Table24[[#This Row],[QuantityInStock]]&lt;=Table24[[#This Row],[ReorderPoint]],"Low Stock",Table24[[#This Row],[QuantityInStock]]&gt;Table24[[#This Row],[ReorderPoint]],"Adequate Stock",Table24[[#This Row],[QuantityInStock]]=0,"Out Of Stock")</f>
        <v>Low Stock</v>
      </c>
      <c r="G147" s="2" t="s">
        <v>518</v>
      </c>
      <c r="H147" s="2" t="s">
        <v>522</v>
      </c>
      <c r="I147" s="2">
        <v>20</v>
      </c>
      <c r="J147" s="2" t="s">
        <v>524</v>
      </c>
      <c r="K147" s="2">
        <v>103.73</v>
      </c>
      <c r="L147" s="2">
        <f>Table24[[#This Row],[QuantityInStock]]*Table24[[#This Row],[UnitCost]]</f>
        <v>4564.12</v>
      </c>
    </row>
    <row r="148" spans="1:12" x14ac:dyDescent="0.3">
      <c r="A148" s="2" t="s">
        <v>155</v>
      </c>
      <c r="B148" s="2" t="s">
        <v>511</v>
      </c>
      <c r="C148" s="2" t="str">
        <f>_xlfn.XLOOKUP(Table24[[#This Row],[ProductName]],Table4[Product name],Table4[Category],"Not Found",0)</f>
        <v>Electronics</v>
      </c>
      <c r="D148" s="2">
        <v>95</v>
      </c>
      <c r="E148" s="2">
        <v>56</v>
      </c>
      <c r="F148" s="2" t="str" cm="1">
        <f t="array" ref="F148">_xlfn.IFS(Table24[[#This Row],[QuantityInStock]]&lt;=Table24[[#This Row],[ReorderPoint]],"Low Stock",Table24[[#This Row],[QuantityInStock]]&gt;Table24[[#This Row],[ReorderPoint]],"Adequate Stock",Table24[[#This Row],[QuantityInStock]]=0,"Out Of Stock")</f>
        <v>Adequate Stock</v>
      </c>
      <c r="G148" s="2" t="s">
        <v>519</v>
      </c>
      <c r="H148" s="2" t="s">
        <v>523</v>
      </c>
      <c r="I148" s="2">
        <v>13</v>
      </c>
      <c r="J148" s="2" t="s">
        <v>525</v>
      </c>
      <c r="K148" s="2">
        <v>77.41</v>
      </c>
      <c r="L148" s="2">
        <f>Table24[[#This Row],[QuantityInStock]]*Table24[[#This Row],[UnitCost]]</f>
        <v>7353.95</v>
      </c>
    </row>
    <row r="149" spans="1:12" x14ac:dyDescent="0.3">
      <c r="A149" s="2" t="s">
        <v>156</v>
      </c>
      <c r="B149" s="2" t="s">
        <v>514</v>
      </c>
      <c r="C149" s="2" t="str">
        <f>_xlfn.XLOOKUP(Table24[[#This Row],[ProductName]],Table4[Product name],Table4[Category],"Not Found",0)</f>
        <v>Furniture</v>
      </c>
      <c r="D149" s="2">
        <v>112</v>
      </c>
      <c r="E149" s="2">
        <v>69</v>
      </c>
      <c r="F149" s="2" t="str" cm="1">
        <f t="array" ref="F149">_xlfn.IFS(Table24[[#This Row],[QuantityInStock]]&lt;=Table24[[#This Row],[ReorderPoint]],"Low Stock",Table24[[#This Row],[QuantityInStock]]&gt;Table24[[#This Row],[ReorderPoint]],"Adequate Stock",Table24[[#This Row],[QuantityInStock]]=0,"Out Of Stock")</f>
        <v>Adequate Stock</v>
      </c>
      <c r="G149" s="2" t="s">
        <v>516</v>
      </c>
      <c r="H149" s="2" t="s">
        <v>520</v>
      </c>
      <c r="I149" s="2">
        <v>5</v>
      </c>
      <c r="J149" s="2" t="s">
        <v>528</v>
      </c>
      <c r="K149" s="2">
        <v>102.27</v>
      </c>
      <c r="L149" s="2">
        <f>Table24[[#This Row],[QuantityInStock]]*Table24[[#This Row],[UnitCost]]</f>
        <v>11454.24</v>
      </c>
    </row>
    <row r="150" spans="1:12" x14ac:dyDescent="0.3">
      <c r="A150" s="2" t="s">
        <v>157</v>
      </c>
      <c r="B150" s="2" t="s">
        <v>510</v>
      </c>
      <c r="C150" s="2" t="str">
        <f>_xlfn.XLOOKUP(Table24[[#This Row],[ProductName]],Table4[Product name],Table4[Category],"Not Found",0)</f>
        <v>Electronics</v>
      </c>
      <c r="D150" s="2">
        <v>369</v>
      </c>
      <c r="E150" s="2">
        <v>97</v>
      </c>
      <c r="F150" s="2" t="str" cm="1">
        <f t="array" ref="F150">_xlfn.IFS(Table24[[#This Row],[QuantityInStock]]&lt;=Table24[[#This Row],[ReorderPoint]],"Low Stock",Table24[[#This Row],[QuantityInStock]]&gt;Table24[[#This Row],[ReorderPoint]],"Adequate Stock",Table24[[#This Row],[QuantityInStock]]=0,"Out Of Stock")</f>
        <v>Adequate Stock</v>
      </c>
      <c r="G150" s="2" t="s">
        <v>519</v>
      </c>
      <c r="H150" s="2" t="s">
        <v>523</v>
      </c>
      <c r="I150" s="2">
        <v>19</v>
      </c>
      <c r="J150" s="2" t="s">
        <v>525</v>
      </c>
      <c r="K150" s="2">
        <v>143.97999999999999</v>
      </c>
      <c r="L150" s="2">
        <f>Table24[[#This Row],[QuantityInStock]]*Table24[[#This Row],[UnitCost]]</f>
        <v>53128.619999999995</v>
      </c>
    </row>
    <row r="151" spans="1:12" x14ac:dyDescent="0.3">
      <c r="A151" s="2" t="s">
        <v>158</v>
      </c>
      <c r="B151" s="2" t="s">
        <v>512</v>
      </c>
      <c r="C151" s="2" t="str">
        <f>_xlfn.XLOOKUP(Table24[[#This Row],[ProductName]],Table4[Product name],Table4[Category],"Not Found",0)</f>
        <v>Furniture</v>
      </c>
      <c r="D151" s="2">
        <v>457</v>
      </c>
      <c r="E151" s="2">
        <v>59</v>
      </c>
      <c r="F151" s="2" t="str" cm="1">
        <f t="array" ref="F151">_xlfn.IFS(Table24[[#This Row],[QuantityInStock]]&lt;=Table24[[#This Row],[ReorderPoint]],"Low Stock",Table24[[#This Row],[QuantityInStock]]&gt;Table24[[#This Row],[ReorderPoint]],"Adequate Stock",Table24[[#This Row],[QuantityInStock]]=0,"Out Of Stock")</f>
        <v>Adequate Stock</v>
      </c>
      <c r="G151" s="2" t="s">
        <v>519</v>
      </c>
      <c r="H151" s="2" t="s">
        <v>523</v>
      </c>
      <c r="I151" s="2">
        <v>5</v>
      </c>
      <c r="J151" s="2" t="s">
        <v>526</v>
      </c>
      <c r="K151" s="2">
        <v>40.92</v>
      </c>
      <c r="L151" s="2">
        <f>Table24[[#This Row],[QuantityInStock]]*Table24[[#This Row],[UnitCost]]</f>
        <v>18700.440000000002</v>
      </c>
    </row>
    <row r="152" spans="1:12" x14ac:dyDescent="0.3">
      <c r="A152" s="2" t="s">
        <v>159</v>
      </c>
      <c r="B152" s="2" t="s">
        <v>515</v>
      </c>
      <c r="C152" s="2" t="str">
        <f>_xlfn.XLOOKUP(Table24[[#This Row],[ProductName]],Table4[Product name],Table4[Category],"Not Found",0)</f>
        <v>Electronics</v>
      </c>
      <c r="D152" s="2">
        <v>170</v>
      </c>
      <c r="E152" s="2">
        <v>92</v>
      </c>
      <c r="F152" s="2" t="str" cm="1">
        <f t="array" ref="F152">_xlfn.IFS(Table24[[#This Row],[QuantityInStock]]&lt;=Table24[[#This Row],[ReorderPoint]],"Low Stock",Table24[[#This Row],[QuantityInStock]]&gt;Table24[[#This Row],[ReorderPoint]],"Adequate Stock",Table24[[#This Row],[QuantityInStock]]=0,"Out Of Stock")</f>
        <v>Adequate Stock</v>
      </c>
      <c r="G152" s="2" t="s">
        <v>519</v>
      </c>
      <c r="H152" s="2" t="s">
        <v>523</v>
      </c>
      <c r="I152" s="2">
        <v>18</v>
      </c>
      <c r="J152" s="2" t="s">
        <v>528</v>
      </c>
      <c r="K152" s="2">
        <v>11.78</v>
      </c>
      <c r="L152" s="2">
        <f>Table24[[#This Row],[QuantityInStock]]*Table24[[#This Row],[UnitCost]]</f>
        <v>2002.6</v>
      </c>
    </row>
    <row r="153" spans="1:12" x14ac:dyDescent="0.3">
      <c r="A153" s="2" t="s">
        <v>160</v>
      </c>
      <c r="B153" s="2" t="s">
        <v>509</v>
      </c>
      <c r="C153" s="2" t="str">
        <f>_xlfn.XLOOKUP(Table24[[#This Row],[ProductName]],Table4[Product name],Table4[Category],"Not Found",0)</f>
        <v>Electronics</v>
      </c>
      <c r="D153" s="2">
        <v>316</v>
      </c>
      <c r="E153" s="2">
        <v>88</v>
      </c>
      <c r="F153" s="2" t="str" cm="1">
        <f t="array" ref="F153">_xlfn.IFS(Table24[[#This Row],[QuantityInStock]]&lt;=Table24[[#This Row],[ReorderPoint]],"Low Stock",Table24[[#This Row],[QuantityInStock]]&gt;Table24[[#This Row],[ReorderPoint]],"Adequate Stock",Table24[[#This Row],[QuantityInStock]]=0,"Out Of Stock")</f>
        <v>Adequate Stock</v>
      </c>
      <c r="G153" s="2" t="s">
        <v>517</v>
      </c>
      <c r="H153" s="2" t="s">
        <v>521</v>
      </c>
      <c r="I153" s="2">
        <v>6</v>
      </c>
      <c r="J153" s="2" t="s">
        <v>526</v>
      </c>
      <c r="K153" s="2">
        <v>41.04</v>
      </c>
      <c r="L153" s="2">
        <f>Table24[[#This Row],[QuantityInStock]]*Table24[[#This Row],[UnitCost]]</f>
        <v>12968.64</v>
      </c>
    </row>
    <row r="154" spans="1:12" x14ac:dyDescent="0.3">
      <c r="A154" s="2" t="s">
        <v>161</v>
      </c>
      <c r="B154" s="2" t="s">
        <v>515</v>
      </c>
      <c r="C154" s="2" t="str">
        <f>_xlfn.XLOOKUP(Table24[[#This Row],[ProductName]],Table4[Product name],Table4[Category],"Not Found",0)</f>
        <v>Electronics</v>
      </c>
      <c r="D154" s="2">
        <v>234</v>
      </c>
      <c r="E154" s="2">
        <v>69</v>
      </c>
      <c r="F154" s="2" t="str" cm="1">
        <f t="array" ref="F154">_xlfn.IFS(Table24[[#This Row],[QuantityInStock]]&lt;=Table24[[#This Row],[ReorderPoint]],"Low Stock",Table24[[#This Row],[QuantityInStock]]&gt;Table24[[#This Row],[ReorderPoint]],"Adequate Stock",Table24[[#This Row],[QuantityInStock]]=0,"Out Of Stock")</f>
        <v>Adequate Stock</v>
      </c>
      <c r="G154" s="2" t="s">
        <v>519</v>
      </c>
      <c r="H154" s="2" t="s">
        <v>523</v>
      </c>
      <c r="I154" s="2">
        <v>6</v>
      </c>
      <c r="J154" s="2" t="s">
        <v>527</v>
      </c>
      <c r="K154" s="2">
        <v>132.61000000000001</v>
      </c>
      <c r="L154" s="2">
        <f>Table24[[#This Row],[QuantityInStock]]*Table24[[#This Row],[UnitCost]]</f>
        <v>31030.74</v>
      </c>
    </row>
    <row r="155" spans="1:12" x14ac:dyDescent="0.3">
      <c r="A155" s="2" t="s">
        <v>162</v>
      </c>
      <c r="B155" s="2" t="s">
        <v>515</v>
      </c>
      <c r="C155" s="2" t="str">
        <f>_xlfn.XLOOKUP(Table24[[#This Row],[ProductName]],Table4[Product name],Table4[Category],"Not Found",0)</f>
        <v>Electronics</v>
      </c>
      <c r="D155" s="2">
        <v>319</v>
      </c>
      <c r="E155" s="2">
        <v>92</v>
      </c>
      <c r="F155" s="2" t="str" cm="1">
        <f t="array" ref="F155">_xlfn.IFS(Table24[[#This Row],[QuantityInStock]]&lt;=Table24[[#This Row],[ReorderPoint]],"Low Stock",Table24[[#This Row],[QuantityInStock]]&gt;Table24[[#This Row],[ReorderPoint]],"Adequate Stock",Table24[[#This Row],[QuantityInStock]]=0,"Out Of Stock")</f>
        <v>Adequate Stock</v>
      </c>
      <c r="G155" s="2" t="s">
        <v>519</v>
      </c>
      <c r="H155" s="2" t="s">
        <v>523</v>
      </c>
      <c r="I155" s="2">
        <v>11</v>
      </c>
      <c r="J155" s="2" t="s">
        <v>527</v>
      </c>
      <c r="K155" s="2">
        <v>20.67</v>
      </c>
      <c r="L155" s="2">
        <f>Table24[[#This Row],[QuantityInStock]]*Table24[[#This Row],[UnitCost]]</f>
        <v>6593.7300000000005</v>
      </c>
    </row>
    <row r="156" spans="1:12" x14ac:dyDescent="0.3">
      <c r="A156" s="2" t="s">
        <v>163</v>
      </c>
      <c r="B156" s="2" t="s">
        <v>513</v>
      </c>
      <c r="C156" s="2" t="str">
        <f>_xlfn.XLOOKUP(Table24[[#This Row],[ProductName]],Table4[Product name],Table4[Category],"Not Found",0)</f>
        <v>Electronics</v>
      </c>
      <c r="D156" s="2">
        <v>99</v>
      </c>
      <c r="E156" s="2">
        <v>94</v>
      </c>
      <c r="F156" s="2" t="str" cm="1">
        <f t="array" ref="F156">_xlfn.IFS(Table24[[#This Row],[QuantityInStock]]&lt;=Table24[[#This Row],[ReorderPoint]],"Low Stock",Table24[[#This Row],[QuantityInStock]]&gt;Table24[[#This Row],[ReorderPoint]],"Adequate Stock",Table24[[#This Row],[QuantityInStock]]=0,"Out Of Stock")</f>
        <v>Adequate Stock</v>
      </c>
      <c r="G156" s="2" t="s">
        <v>517</v>
      </c>
      <c r="H156" s="2" t="s">
        <v>521</v>
      </c>
      <c r="I156" s="2">
        <v>20</v>
      </c>
      <c r="J156" s="2" t="s">
        <v>527</v>
      </c>
      <c r="K156" s="2">
        <v>159.72</v>
      </c>
      <c r="L156" s="2">
        <f>Table24[[#This Row],[QuantityInStock]]*Table24[[#This Row],[UnitCost]]</f>
        <v>15812.28</v>
      </c>
    </row>
    <row r="157" spans="1:12" x14ac:dyDescent="0.3">
      <c r="A157" s="2" t="s">
        <v>164</v>
      </c>
      <c r="B157" s="2" t="s">
        <v>510</v>
      </c>
      <c r="C157" s="2" t="str">
        <f>_xlfn.XLOOKUP(Table24[[#This Row],[ProductName]],Table4[Product name],Table4[Category],"Not Found",0)</f>
        <v>Electronics</v>
      </c>
      <c r="D157" s="2">
        <v>499</v>
      </c>
      <c r="E157" s="2">
        <v>52</v>
      </c>
      <c r="F157" s="2" t="str" cm="1">
        <f t="array" ref="F157">_xlfn.IFS(Table24[[#This Row],[QuantityInStock]]&lt;=Table24[[#This Row],[ReorderPoint]],"Low Stock",Table24[[#This Row],[QuantityInStock]]&gt;Table24[[#This Row],[ReorderPoint]],"Adequate Stock",Table24[[#This Row],[QuantityInStock]]=0,"Out Of Stock")</f>
        <v>Adequate Stock</v>
      </c>
      <c r="G157" s="2" t="s">
        <v>517</v>
      </c>
      <c r="H157" s="2" t="s">
        <v>521</v>
      </c>
      <c r="I157" s="2">
        <v>16</v>
      </c>
      <c r="J157" s="2" t="s">
        <v>527</v>
      </c>
      <c r="K157" s="2">
        <v>119.94</v>
      </c>
      <c r="L157" s="2">
        <f>Table24[[#This Row],[QuantityInStock]]*Table24[[#This Row],[UnitCost]]</f>
        <v>59850.06</v>
      </c>
    </row>
    <row r="158" spans="1:12" x14ac:dyDescent="0.3">
      <c r="A158" s="2" t="s">
        <v>165</v>
      </c>
      <c r="B158" s="2" t="s">
        <v>511</v>
      </c>
      <c r="C158" s="2" t="str">
        <f>_xlfn.XLOOKUP(Table24[[#This Row],[ProductName]],Table4[Product name],Table4[Category],"Not Found",0)</f>
        <v>Electronics</v>
      </c>
      <c r="D158" s="2">
        <v>339</v>
      </c>
      <c r="E158" s="2">
        <v>22</v>
      </c>
      <c r="F158" s="2" t="str" cm="1">
        <f t="array" ref="F158">_xlfn.IFS(Table24[[#This Row],[QuantityInStock]]&lt;=Table24[[#This Row],[ReorderPoint]],"Low Stock",Table24[[#This Row],[QuantityInStock]]&gt;Table24[[#This Row],[ReorderPoint]],"Adequate Stock",Table24[[#This Row],[QuantityInStock]]=0,"Out Of Stock")</f>
        <v>Adequate Stock</v>
      </c>
      <c r="G158" s="2" t="s">
        <v>516</v>
      </c>
      <c r="H158" s="2" t="s">
        <v>520</v>
      </c>
      <c r="I158" s="2">
        <v>10</v>
      </c>
      <c r="J158" s="2" t="s">
        <v>528</v>
      </c>
      <c r="K158" s="2">
        <v>14.99</v>
      </c>
      <c r="L158" s="2">
        <f>Table24[[#This Row],[QuantityInStock]]*Table24[[#This Row],[UnitCost]]</f>
        <v>5081.6099999999997</v>
      </c>
    </row>
    <row r="159" spans="1:12" x14ac:dyDescent="0.3">
      <c r="A159" s="2" t="s">
        <v>166</v>
      </c>
      <c r="B159" s="2" t="s">
        <v>514</v>
      </c>
      <c r="C159" s="2" t="str">
        <f>_xlfn.XLOOKUP(Table24[[#This Row],[ProductName]],Table4[Product name],Table4[Category],"Not Found",0)</f>
        <v>Furniture</v>
      </c>
      <c r="D159" s="2">
        <v>172</v>
      </c>
      <c r="E159" s="2">
        <v>41</v>
      </c>
      <c r="F159" s="2" t="str" cm="1">
        <f t="array" ref="F159">_xlfn.IFS(Table24[[#This Row],[QuantityInStock]]&lt;=Table24[[#This Row],[ReorderPoint]],"Low Stock",Table24[[#This Row],[QuantityInStock]]&gt;Table24[[#This Row],[ReorderPoint]],"Adequate Stock",Table24[[#This Row],[QuantityInStock]]=0,"Out Of Stock")</f>
        <v>Adequate Stock</v>
      </c>
      <c r="G159" s="2" t="s">
        <v>518</v>
      </c>
      <c r="H159" s="2" t="s">
        <v>522</v>
      </c>
      <c r="I159" s="2">
        <v>19</v>
      </c>
      <c r="J159" s="2" t="s">
        <v>525</v>
      </c>
      <c r="K159" s="2">
        <v>133.44999999999999</v>
      </c>
      <c r="L159" s="2">
        <f>Table24[[#This Row],[QuantityInStock]]*Table24[[#This Row],[UnitCost]]</f>
        <v>22953.399999999998</v>
      </c>
    </row>
    <row r="160" spans="1:12" x14ac:dyDescent="0.3">
      <c r="A160" s="2" t="s">
        <v>167</v>
      </c>
      <c r="B160" s="2" t="s">
        <v>515</v>
      </c>
      <c r="C160" s="2" t="str">
        <f>_xlfn.XLOOKUP(Table24[[#This Row],[ProductName]],Table4[Product name],Table4[Category],"Not Found",0)</f>
        <v>Electronics</v>
      </c>
      <c r="D160" s="2">
        <v>406</v>
      </c>
      <c r="E160" s="2">
        <v>41</v>
      </c>
      <c r="F160" s="2" t="str" cm="1">
        <f t="array" ref="F160">_xlfn.IFS(Table24[[#This Row],[QuantityInStock]]&lt;=Table24[[#This Row],[ReorderPoint]],"Low Stock",Table24[[#This Row],[QuantityInStock]]&gt;Table24[[#This Row],[ReorderPoint]],"Adequate Stock",Table24[[#This Row],[QuantityInStock]]=0,"Out Of Stock")</f>
        <v>Adequate Stock</v>
      </c>
      <c r="G160" s="2" t="s">
        <v>516</v>
      </c>
      <c r="H160" s="2" t="s">
        <v>520</v>
      </c>
      <c r="I160" s="2">
        <v>5</v>
      </c>
      <c r="J160" s="2" t="s">
        <v>526</v>
      </c>
      <c r="K160" s="2">
        <v>108.66</v>
      </c>
      <c r="L160" s="2">
        <f>Table24[[#This Row],[QuantityInStock]]*Table24[[#This Row],[UnitCost]]</f>
        <v>44115.96</v>
      </c>
    </row>
    <row r="161" spans="1:12" x14ac:dyDescent="0.3">
      <c r="A161" s="2" t="s">
        <v>168</v>
      </c>
      <c r="B161" s="2" t="s">
        <v>509</v>
      </c>
      <c r="C161" s="2" t="str">
        <f>_xlfn.XLOOKUP(Table24[[#This Row],[ProductName]],Table4[Product name],Table4[Category],"Not Found",0)</f>
        <v>Electronics</v>
      </c>
      <c r="D161" s="2">
        <v>127</v>
      </c>
      <c r="E161" s="2">
        <v>50</v>
      </c>
      <c r="F161" s="2" t="str" cm="1">
        <f t="array" ref="F161">_xlfn.IFS(Table24[[#This Row],[QuantityInStock]]&lt;=Table24[[#This Row],[ReorderPoint]],"Low Stock",Table24[[#This Row],[QuantityInStock]]&gt;Table24[[#This Row],[ReorderPoint]],"Adequate Stock",Table24[[#This Row],[QuantityInStock]]=0,"Out Of Stock")</f>
        <v>Adequate Stock</v>
      </c>
      <c r="G161" s="2" t="s">
        <v>516</v>
      </c>
      <c r="H161" s="2" t="s">
        <v>520</v>
      </c>
      <c r="I161" s="2">
        <v>16</v>
      </c>
      <c r="J161" s="2" t="s">
        <v>526</v>
      </c>
      <c r="K161" s="2">
        <v>37.79</v>
      </c>
      <c r="L161" s="2">
        <f>Table24[[#This Row],[QuantityInStock]]*Table24[[#This Row],[UnitCost]]</f>
        <v>4799.33</v>
      </c>
    </row>
    <row r="162" spans="1:12" x14ac:dyDescent="0.3">
      <c r="A162" s="2" t="s">
        <v>169</v>
      </c>
      <c r="B162" s="2" t="s">
        <v>511</v>
      </c>
      <c r="C162" s="2" t="str">
        <f>_xlfn.XLOOKUP(Table24[[#This Row],[ProductName]],Table4[Product name],Table4[Category],"Not Found",0)</f>
        <v>Electronics</v>
      </c>
      <c r="D162" s="2">
        <v>1</v>
      </c>
      <c r="E162" s="2">
        <v>62</v>
      </c>
      <c r="F162" s="2" t="str" cm="1">
        <f t="array" ref="F162">_xlfn.IFS(Table24[[#This Row],[QuantityInStock]]&lt;=Table24[[#This Row],[ReorderPoint]],"Low Stock",Table24[[#This Row],[QuantityInStock]]&gt;Table24[[#This Row],[ReorderPoint]],"Adequate Stock",Table24[[#This Row],[QuantityInStock]]=0,"Out Of Stock")</f>
        <v>Low Stock</v>
      </c>
      <c r="G162" s="2" t="s">
        <v>518</v>
      </c>
      <c r="H162" s="2" t="s">
        <v>522</v>
      </c>
      <c r="I162" s="2">
        <v>7</v>
      </c>
      <c r="J162" s="2" t="s">
        <v>527</v>
      </c>
      <c r="K162" s="2">
        <v>42.53</v>
      </c>
      <c r="L162" s="2">
        <f>Table24[[#This Row],[QuantityInStock]]*Table24[[#This Row],[UnitCost]]</f>
        <v>42.53</v>
      </c>
    </row>
    <row r="163" spans="1:12" x14ac:dyDescent="0.3">
      <c r="A163" s="2" t="s">
        <v>170</v>
      </c>
      <c r="B163" s="2" t="s">
        <v>509</v>
      </c>
      <c r="C163" s="2" t="str">
        <f>_xlfn.XLOOKUP(Table24[[#This Row],[ProductName]],Table4[Product name],Table4[Category],"Not Found",0)</f>
        <v>Electronics</v>
      </c>
      <c r="D163" s="2">
        <v>13</v>
      </c>
      <c r="E163" s="2">
        <v>96</v>
      </c>
      <c r="F163" s="2" t="str" cm="1">
        <f t="array" ref="F163">_xlfn.IFS(Table24[[#This Row],[QuantityInStock]]&lt;=Table24[[#This Row],[ReorderPoint]],"Low Stock",Table24[[#This Row],[QuantityInStock]]&gt;Table24[[#This Row],[ReorderPoint]],"Adequate Stock",Table24[[#This Row],[QuantityInStock]]=0,"Out Of Stock")</f>
        <v>Low Stock</v>
      </c>
      <c r="G163" s="2" t="s">
        <v>516</v>
      </c>
      <c r="H163" s="2" t="s">
        <v>520</v>
      </c>
      <c r="I163" s="2">
        <v>9</v>
      </c>
      <c r="J163" s="2" t="s">
        <v>524</v>
      </c>
      <c r="K163" s="2">
        <v>172.49</v>
      </c>
      <c r="L163" s="2">
        <f>Table24[[#This Row],[QuantityInStock]]*Table24[[#This Row],[UnitCost]]</f>
        <v>2242.37</v>
      </c>
    </row>
    <row r="164" spans="1:12" x14ac:dyDescent="0.3">
      <c r="A164" s="2" t="s">
        <v>171</v>
      </c>
      <c r="B164" s="2" t="s">
        <v>515</v>
      </c>
      <c r="C164" s="2" t="str">
        <f>_xlfn.XLOOKUP(Table24[[#This Row],[ProductName]],Table4[Product name],Table4[Category],"Not Found",0)</f>
        <v>Electronics</v>
      </c>
      <c r="D164" s="2">
        <v>57</v>
      </c>
      <c r="E164" s="2">
        <v>67</v>
      </c>
      <c r="F164" s="2" t="str" cm="1">
        <f t="array" ref="F164">_xlfn.IFS(Table24[[#This Row],[QuantityInStock]]&lt;=Table24[[#This Row],[ReorderPoint]],"Low Stock",Table24[[#This Row],[QuantityInStock]]&gt;Table24[[#This Row],[ReorderPoint]],"Adequate Stock",Table24[[#This Row],[QuantityInStock]]=0,"Out Of Stock")</f>
        <v>Low Stock</v>
      </c>
      <c r="G164" s="2" t="s">
        <v>519</v>
      </c>
      <c r="H164" s="2" t="s">
        <v>523</v>
      </c>
      <c r="I164" s="2">
        <v>10</v>
      </c>
      <c r="J164" s="2" t="s">
        <v>528</v>
      </c>
      <c r="K164" s="2">
        <v>114.89</v>
      </c>
      <c r="L164" s="2">
        <f>Table24[[#This Row],[QuantityInStock]]*Table24[[#This Row],[UnitCost]]</f>
        <v>6548.7300000000005</v>
      </c>
    </row>
    <row r="165" spans="1:12" x14ac:dyDescent="0.3">
      <c r="A165" s="2" t="s">
        <v>172</v>
      </c>
      <c r="B165" s="2" t="s">
        <v>514</v>
      </c>
      <c r="C165" s="2" t="str">
        <f>_xlfn.XLOOKUP(Table24[[#This Row],[ProductName]],Table4[Product name],Table4[Category],"Not Found",0)</f>
        <v>Furniture</v>
      </c>
      <c r="D165" s="2">
        <v>469</v>
      </c>
      <c r="E165" s="2">
        <v>50</v>
      </c>
      <c r="F165" s="2" t="str" cm="1">
        <f t="array" ref="F165">_xlfn.IFS(Table24[[#This Row],[QuantityInStock]]&lt;=Table24[[#This Row],[ReorderPoint]],"Low Stock",Table24[[#This Row],[QuantityInStock]]&gt;Table24[[#This Row],[ReorderPoint]],"Adequate Stock",Table24[[#This Row],[QuantityInStock]]=0,"Out Of Stock")</f>
        <v>Adequate Stock</v>
      </c>
      <c r="G165" s="2" t="s">
        <v>517</v>
      </c>
      <c r="H165" s="2" t="s">
        <v>521</v>
      </c>
      <c r="I165" s="2">
        <v>21</v>
      </c>
      <c r="J165" s="2" t="s">
        <v>527</v>
      </c>
      <c r="K165" s="2">
        <v>25.72</v>
      </c>
      <c r="L165" s="2">
        <f>Table24[[#This Row],[QuantityInStock]]*Table24[[#This Row],[UnitCost]]</f>
        <v>12062.68</v>
      </c>
    </row>
    <row r="166" spans="1:12" x14ac:dyDescent="0.3">
      <c r="A166" s="2" t="s">
        <v>173</v>
      </c>
      <c r="B166" s="2" t="s">
        <v>511</v>
      </c>
      <c r="C166" s="2" t="str">
        <f>_xlfn.XLOOKUP(Table24[[#This Row],[ProductName]],Table4[Product name],Table4[Category],"Not Found",0)</f>
        <v>Electronics</v>
      </c>
      <c r="D166" s="2">
        <v>387</v>
      </c>
      <c r="E166" s="2">
        <v>98</v>
      </c>
      <c r="F166" s="2" t="str" cm="1">
        <f t="array" ref="F166">_xlfn.IFS(Table24[[#This Row],[QuantityInStock]]&lt;=Table24[[#This Row],[ReorderPoint]],"Low Stock",Table24[[#This Row],[QuantityInStock]]&gt;Table24[[#This Row],[ReorderPoint]],"Adequate Stock",Table24[[#This Row],[QuantityInStock]]=0,"Out Of Stock")</f>
        <v>Adequate Stock</v>
      </c>
      <c r="G166" s="2" t="s">
        <v>518</v>
      </c>
      <c r="H166" s="2" t="s">
        <v>522</v>
      </c>
      <c r="I166" s="2">
        <v>13</v>
      </c>
      <c r="J166" s="2" t="s">
        <v>528</v>
      </c>
      <c r="K166" s="2">
        <v>98.29</v>
      </c>
      <c r="L166" s="2">
        <f>Table24[[#This Row],[QuantityInStock]]*Table24[[#This Row],[UnitCost]]</f>
        <v>38038.230000000003</v>
      </c>
    </row>
    <row r="167" spans="1:12" x14ac:dyDescent="0.3">
      <c r="A167" s="2" t="s">
        <v>174</v>
      </c>
      <c r="B167" s="2" t="s">
        <v>509</v>
      </c>
      <c r="C167" s="2" t="str">
        <f>_xlfn.XLOOKUP(Table24[[#This Row],[ProductName]],Table4[Product name],Table4[Category],"Not Found",0)</f>
        <v>Electronics</v>
      </c>
      <c r="D167" s="2">
        <v>440</v>
      </c>
      <c r="E167" s="2">
        <v>43</v>
      </c>
      <c r="F167" s="2" t="str" cm="1">
        <f t="array" ref="F167">_xlfn.IFS(Table24[[#This Row],[QuantityInStock]]&lt;=Table24[[#This Row],[ReorderPoint]],"Low Stock",Table24[[#This Row],[QuantityInStock]]&gt;Table24[[#This Row],[ReorderPoint]],"Adequate Stock",Table24[[#This Row],[QuantityInStock]]=0,"Out Of Stock")</f>
        <v>Adequate Stock</v>
      </c>
      <c r="G167" s="2" t="s">
        <v>516</v>
      </c>
      <c r="H167" s="2" t="s">
        <v>520</v>
      </c>
      <c r="I167" s="2">
        <v>12</v>
      </c>
      <c r="J167" s="2" t="s">
        <v>524</v>
      </c>
      <c r="K167" s="2">
        <v>8.98</v>
      </c>
      <c r="L167" s="2">
        <f>Table24[[#This Row],[QuantityInStock]]*Table24[[#This Row],[UnitCost]]</f>
        <v>3951.2000000000003</v>
      </c>
    </row>
    <row r="168" spans="1:12" x14ac:dyDescent="0.3">
      <c r="A168" s="2" t="s">
        <v>175</v>
      </c>
      <c r="B168" s="2" t="s">
        <v>515</v>
      </c>
      <c r="C168" s="2" t="str">
        <f>_xlfn.XLOOKUP(Table24[[#This Row],[ProductName]],Table4[Product name],Table4[Category],"Not Found",0)</f>
        <v>Electronics</v>
      </c>
      <c r="D168" s="2">
        <v>426</v>
      </c>
      <c r="E168" s="2">
        <v>80</v>
      </c>
      <c r="F168" s="2" t="str" cm="1">
        <f t="array" ref="F168">_xlfn.IFS(Table24[[#This Row],[QuantityInStock]]&lt;=Table24[[#This Row],[ReorderPoint]],"Low Stock",Table24[[#This Row],[QuantityInStock]]&gt;Table24[[#This Row],[ReorderPoint]],"Adequate Stock",Table24[[#This Row],[QuantityInStock]]=0,"Out Of Stock")</f>
        <v>Adequate Stock</v>
      </c>
      <c r="G168" s="2" t="s">
        <v>518</v>
      </c>
      <c r="H168" s="2" t="s">
        <v>522</v>
      </c>
      <c r="I168" s="2">
        <v>20</v>
      </c>
      <c r="J168" s="2" t="s">
        <v>526</v>
      </c>
      <c r="K168" s="2">
        <v>185.42</v>
      </c>
      <c r="L168" s="2">
        <f>Table24[[#This Row],[QuantityInStock]]*Table24[[#This Row],[UnitCost]]</f>
        <v>78988.92</v>
      </c>
    </row>
    <row r="169" spans="1:12" x14ac:dyDescent="0.3">
      <c r="A169" s="2" t="s">
        <v>176</v>
      </c>
      <c r="B169" s="2" t="s">
        <v>515</v>
      </c>
      <c r="C169" s="2" t="str">
        <f>_xlfn.XLOOKUP(Table24[[#This Row],[ProductName]],Table4[Product name],Table4[Category],"Not Found",0)</f>
        <v>Electronics</v>
      </c>
      <c r="D169" s="2">
        <v>317</v>
      </c>
      <c r="E169" s="2">
        <v>68</v>
      </c>
      <c r="F169" s="2" t="str" cm="1">
        <f t="array" ref="F169">_xlfn.IFS(Table24[[#This Row],[QuantityInStock]]&lt;=Table24[[#This Row],[ReorderPoint]],"Low Stock",Table24[[#This Row],[QuantityInStock]]&gt;Table24[[#This Row],[ReorderPoint]],"Adequate Stock",Table24[[#This Row],[QuantityInStock]]=0,"Out Of Stock")</f>
        <v>Adequate Stock</v>
      </c>
      <c r="G169" s="2" t="s">
        <v>517</v>
      </c>
      <c r="H169" s="2" t="s">
        <v>521</v>
      </c>
      <c r="I169" s="2">
        <v>8</v>
      </c>
      <c r="J169" s="2" t="s">
        <v>528</v>
      </c>
      <c r="K169" s="2">
        <v>152.06</v>
      </c>
      <c r="L169" s="2">
        <f>Table24[[#This Row],[QuantityInStock]]*Table24[[#This Row],[UnitCost]]</f>
        <v>48203.020000000004</v>
      </c>
    </row>
    <row r="170" spans="1:12" x14ac:dyDescent="0.3">
      <c r="A170" s="2" t="s">
        <v>177</v>
      </c>
      <c r="B170" s="2" t="s">
        <v>509</v>
      </c>
      <c r="C170" s="2" t="str">
        <f>_xlfn.XLOOKUP(Table24[[#This Row],[ProductName]],Table4[Product name],Table4[Category],"Not Found",0)</f>
        <v>Electronics</v>
      </c>
      <c r="D170" s="2">
        <v>38</v>
      </c>
      <c r="E170" s="2">
        <v>22</v>
      </c>
      <c r="F170" s="2" t="str" cm="1">
        <f t="array" ref="F170">_xlfn.IFS(Table24[[#This Row],[QuantityInStock]]&lt;=Table24[[#This Row],[ReorderPoint]],"Low Stock",Table24[[#This Row],[QuantityInStock]]&gt;Table24[[#This Row],[ReorderPoint]],"Adequate Stock",Table24[[#This Row],[QuantityInStock]]=0,"Out Of Stock")</f>
        <v>Adequate Stock</v>
      </c>
      <c r="G170" s="2" t="s">
        <v>518</v>
      </c>
      <c r="H170" s="2" t="s">
        <v>522</v>
      </c>
      <c r="I170" s="2">
        <v>15</v>
      </c>
      <c r="J170" s="2" t="s">
        <v>528</v>
      </c>
      <c r="K170" s="2">
        <v>175.2</v>
      </c>
      <c r="L170" s="2">
        <f>Table24[[#This Row],[QuantityInStock]]*Table24[[#This Row],[UnitCost]]</f>
        <v>6657.5999999999995</v>
      </c>
    </row>
    <row r="171" spans="1:12" x14ac:dyDescent="0.3">
      <c r="A171" s="2" t="s">
        <v>178</v>
      </c>
      <c r="B171" s="2" t="s">
        <v>513</v>
      </c>
      <c r="C171" s="2" t="str">
        <f>_xlfn.XLOOKUP(Table24[[#This Row],[ProductName]],Table4[Product name],Table4[Category],"Not Found",0)</f>
        <v>Electronics</v>
      </c>
      <c r="D171" s="2">
        <v>178</v>
      </c>
      <c r="E171" s="2">
        <v>46</v>
      </c>
      <c r="F171" s="2" t="str" cm="1">
        <f t="array" ref="F171">_xlfn.IFS(Table24[[#This Row],[QuantityInStock]]&lt;=Table24[[#This Row],[ReorderPoint]],"Low Stock",Table24[[#This Row],[QuantityInStock]]&gt;Table24[[#This Row],[ReorderPoint]],"Adequate Stock",Table24[[#This Row],[QuantityInStock]]=0,"Out Of Stock")</f>
        <v>Adequate Stock</v>
      </c>
      <c r="G171" s="2" t="s">
        <v>517</v>
      </c>
      <c r="H171" s="2" t="s">
        <v>521</v>
      </c>
      <c r="I171" s="2">
        <v>3</v>
      </c>
      <c r="J171" s="2" t="s">
        <v>528</v>
      </c>
      <c r="K171" s="2">
        <v>126.5</v>
      </c>
      <c r="L171" s="2">
        <f>Table24[[#This Row],[QuantityInStock]]*Table24[[#This Row],[UnitCost]]</f>
        <v>22517</v>
      </c>
    </row>
    <row r="172" spans="1:12" x14ac:dyDescent="0.3">
      <c r="A172" s="2" t="s">
        <v>179</v>
      </c>
      <c r="B172" s="2" t="s">
        <v>513</v>
      </c>
      <c r="C172" s="2" t="str">
        <f>_xlfn.XLOOKUP(Table24[[#This Row],[ProductName]],Table4[Product name],Table4[Category],"Not Found",0)</f>
        <v>Electronics</v>
      </c>
      <c r="D172" s="2">
        <v>237</v>
      </c>
      <c r="E172" s="2">
        <v>65</v>
      </c>
      <c r="F172" s="2" t="str" cm="1">
        <f t="array" ref="F172">_xlfn.IFS(Table24[[#This Row],[QuantityInStock]]&lt;=Table24[[#This Row],[ReorderPoint]],"Low Stock",Table24[[#This Row],[QuantityInStock]]&gt;Table24[[#This Row],[ReorderPoint]],"Adequate Stock",Table24[[#This Row],[QuantityInStock]]=0,"Out Of Stock")</f>
        <v>Adequate Stock</v>
      </c>
      <c r="G172" s="2" t="s">
        <v>519</v>
      </c>
      <c r="H172" s="2" t="s">
        <v>523</v>
      </c>
      <c r="I172" s="2">
        <v>15</v>
      </c>
      <c r="J172" s="2" t="s">
        <v>527</v>
      </c>
      <c r="K172" s="2">
        <v>174.24</v>
      </c>
      <c r="L172" s="2">
        <f>Table24[[#This Row],[QuantityInStock]]*Table24[[#This Row],[UnitCost]]</f>
        <v>41294.880000000005</v>
      </c>
    </row>
    <row r="173" spans="1:12" x14ac:dyDescent="0.3">
      <c r="A173" s="2" t="s">
        <v>180</v>
      </c>
      <c r="B173" s="2" t="s">
        <v>515</v>
      </c>
      <c r="C173" s="2" t="str">
        <f>_xlfn.XLOOKUP(Table24[[#This Row],[ProductName]],Table4[Product name],Table4[Category],"Not Found",0)</f>
        <v>Electronics</v>
      </c>
      <c r="D173" s="2">
        <v>180</v>
      </c>
      <c r="E173" s="2">
        <v>92</v>
      </c>
      <c r="F173" s="2" t="str" cm="1">
        <f t="array" ref="F173">_xlfn.IFS(Table24[[#This Row],[QuantityInStock]]&lt;=Table24[[#This Row],[ReorderPoint]],"Low Stock",Table24[[#This Row],[QuantityInStock]]&gt;Table24[[#This Row],[ReorderPoint]],"Adequate Stock",Table24[[#This Row],[QuantityInStock]]=0,"Out Of Stock")</f>
        <v>Adequate Stock</v>
      </c>
      <c r="G173" s="2" t="s">
        <v>518</v>
      </c>
      <c r="H173" s="2" t="s">
        <v>522</v>
      </c>
      <c r="I173" s="2">
        <v>8</v>
      </c>
      <c r="J173" s="2" t="s">
        <v>528</v>
      </c>
      <c r="K173" s="2">
        <v>108.19</v>
      </c>
      <c r="L173" s="2">
        <f>Table24[[#This Row],[QuantityInStock]]*Table24[[#This Row],[UnitCost]]</f>
        <v>19474.2</v>
      </c>
    </row>
    <row r="174" spans="1:12" x14ac:dyDescent="0.3">
      <c r="A174" s="2" t="s">
        <v>181</v>
      </c>
      <c r="B174" s="2" t="s">
        <v>511</v>
      </c>
      <c r="C174" s="2" t="str">
        <f>_xlfn.XLOOKUP(Table24[[#This Row],[ProductName]],Table4[Product name],Table4[Category],"Not Found",0)</f>
        <v>Electronics</v>
      </c>
      <c r="D174" s="2">
        <v>56</v>
      </c>
      <c r="E174" s="2">
        <v>64</v>
      </c>
      <c r="F174" s="2" t="str" cm="1">
        <f t="array" ref="F174">_xlfn.IFS(Table24[[#This Row],[QuantityInStock]]&lt;=Table24[[#This Row],[ReorderPoint]],"Low Stock",Table24[[#This Row],[QuantityInStock]]&gt;Table24[[#This Row],[ReorderPoint]],"Adequate Stock",Table24[[#This Row],[QuantityInStock]]=0,"Out Of Stock")</f>
        <v>Low Stock</v>
      </c>
      <c r="G174" s="2" t="s">
        <v>517</v>
      </c>
      <c r="H174" s="2" t="s">
        <v>521</v>
      </c>
      <c r="I174" s="2">
        <v>6</v>
      </c>
      <c r="J174" s="2" t="s">
        <v>526</v>
      </c>
      <c r="K174" s="2">
        <v>30.21</v>
      </c>
      <c r="L174" s="2">
        <f>Table24[[#This Row],[QuantityInStock]]*Table24[[#This Row],[UnitCost]]</f>
        <v>1691.76</v>
      </c>
    </row>
    <row r="175" spans="1:12" x14ac:dyDescent="0.3">
      <c r="A175" s="2" t="s">
        <v>182</v>
      </c>
      <c r="B175" s="2" t="s">
        <v>514</v>
      </c>
      <c r="C175" s="2" t="str">
        <f>_xlfn.XLOOKUP(Table24[[#This Row],[ProductName]],Table4[Product name],Table4[Category],"Not Found",0)</f>
        <v>Furniture</v>
      </c>
      <c r="D175" s="2">
        <v>60</v>
      </c>
      <c r="E175" s="2">
        <v>74</v>
      </c>
      <c r="F175" s="2" t="str" cm="1">
        <f t="array" ref="F175">_xlfn.IFS(Table24[[#This Row],[QuantityInStock]]&lt;=Table24[[#This Row],[ReorderPoint]],"Low Stock",Table24[[#This Row],[QuantityInStock]]&gt;Table24[[#This Row],[ReorderPoint]],"Adequate Stock",Table24[[#This Row],[QuantityInStock]]=0,"Out Of Stock")</f>
        <v>Low Stock</v>
      </c>
      <c r="G175" s="2" t="s">
        <v>516</v>
      </c>
      <c r="H175" s="2" t="s">
        <v>520</v>
      </c>
      <c r="I175" s="2">
        <v>6</v>
      </c>
      <c r="J175" s="2" t="s">
        <v>527</v>
      </c>
      <c r="K175" s="2">
        <v>39.99</v>
      </c>
      <c r="L175" s="2">
        <f>Table24[[#This Row],[QuantityInStock]]*Table24[[#This Row],[UnitCost]]</f>
        <v>2399.4</v>
      </c>
    </row>
    <row r="176" spans="1:12" x14ac:dyDescent="0.3">
      <c r="A176" s="2" t="s">
        <v>183</v>
      </c>
      <c r="B176" s="2" t="s">
        <v>514</v>
      </c>
      <c r="C176" s="2" t="str">
        <f>_xlfn.XLOOKUP(Table24[[#This Row],[ProductName]],Table4[Product name],Table4[Category],"Not Found",0)</f>
        <v>Furniture</v>
      </c>
      <c r="D176" s="2">
        <v>324</v>
      </c>
      <c r="E176" s="2">
        <v>33</v>
      </c>
      <c r="F176" s="2" t="str" cm="1">
        <f t="array" ref="F176">_xlfn.IFS(Table24[[#This Row],[QuantityInStock]]&lt;=Table24[[#This Row],[ReorderPoint]],"Low Stock",Table24[[#This Row],[QuantityInStock]]&gt;Table24[[#This Row],[ReorderPoint]],"Adequate Stock",Table24[[#This Row],[QuantityInStock]]=0,"Out Of Stock")</f>
        <v>Adequate Stock</v>
      </c>
      <c r="G176" s="2" t="s">
        <v>517</v>
      </c>
      <c r="H176" s="2" t="s">
        <v>521</v>
      </c>
      <c r="I176" s="2">
        <v>15</v>
      </c>
      <c r="J176" s="2" t="s">
        <v>528</v>
      </c>
      <c r="K176" s="2">
        <v>125.97</v>
      </c>
      <c r="L176" s="2">
        <f>Table24[[#This Row],[QuantityInStock]]*Table24[[#This Row],[UnitCost]]</f>
        <v>40814.28</v>
      </c>
    </row>
    <row r="177" spans="1:12" x14ac:dyDescent="0.3">
      <c r="A177" s="2" t="s">
        <v>184</v>
      </c>
      <c r="B177" s="2" t="s">
        <v>515</v>
      </c>
      <c r="C177" s="2" t="str">
        <f>_xlfn.XLOOKUP(Table24[[#This Row],[ProductName]],Table4[Product name],Table4[Category],"Not Found",0)</f>
        <v>Electronics</v>
      </c>
      <c r="D177" s="2">
        <v>355</v>
      </c>
      <c r="E177" s="2">
        <v>60</v>
      </c>
      <c r="F177" s="2" t="str" cm="1">
        <f t="array" ref="F177">_xlfn.IFS(Table24[[#This Row],[QuantityInStock]]&lt;=Table24[[#This Row],[ReorderPoint]],"Low Stock",Table24[[#This Row],[QuantityInStock]]&gt;Table24[[#This Row],[ReorderPoint]],"Adequate Stock",Table24[[#This Row],[QuantityInStock]]=0,"Out Of Stock")</f>
        <v>Adequate Stock</v>
      </c>
      <c r="G177" s="2" t="s">
        <v>517</v>
      </c>
      <c r="H177" s="2" t="s">
        <v>521</v>
      </c>
      <c r="I177" s="2">
        <v>15</v>
      </c>
      <c r="J177" s="2" t="s">
        <v>526</v>
      </c>
      <c r="K177" s="2">
        <v>27.41</v>
      </c>
      <c r="L177" s="2">
        <f>Table24[[#This Row],[QuantityInStock]]*Table24[[#This Row],[UnitCost]]</f>
        <v>9730.5499999999993</v>
      </c>
    </row>
    <row r="178" spans="1:12" x14ac:dyDescent="0.3">
      <c r="A178" s="2" t="s">
        <v>185</v>
      </c>
      <c r="B178" s="2" t="s">
        <v>514</v>
      </c>
      <c r="C178" s="2" t="str">
        <f>_xlfn.XLOOKUP(Table24[[#This Row],[ProductName]],Table4[Product name],Table4[Category],"Not Found",0)</f>
        <v>Furniture</v>
      </c>
      <c r="D178" s="2">
        <v>389</v>
      </c>
      <c r="E178" s="2">
        <v>30</v>
      </c>
      <c r="F178" s="2" t="str" cm="1">
        <f t="array" ref="F178">_xlfn.IFS(Table24[[#This Row],[QuantityInStock]]&lt;=Table24[[#This Row],[ReorderPoint]],"Low Stock",Table24[[#This Row],[QuantityInStock]]&gt;Table24[[#This Row],[ReorderPoint]],"Adequate Stock",Table24[[#This Row],[QuantityInStock]]=0,"Out Of Stock")</f>
        <v>Adequate Stock</v>
      </c>
      <c r="G178" s="2" t="s">
        <v>519</v>
      </c>
      <c r="H178" s="2" t="s">
        <v>523</v>
      </c>
      <c r="I178" s="2">
        <v>16</v>
      </c>
      <c r="J178" s="2" t="s">
        <v>526</v>
      </c>
      <c r="K178" s="2">
        <v>120.88</v>
      </c>
      <c r="L178" s="2">
        <f>Table24[[#This Row],[QuantityInStock]]*Table24[[#This Row],[UnitCost]]</f>
        <v>47022.32</v>
      </c>
    </row>
    <row r="179" spans="1:12" x14ac:dyDescent="0.3">
      <c r="A179" s="2" t="s">
        <v>186</v>
      </c>
      <c r="B179" s="2" t="s">
        <v>515</v>
      </c>
      <c r="C179" s="2" t="str">
        <f>_xlfn.XLOOKUP(Table24[[#This Row],[ProductName]],Table4[Product name],Table4[Category],"Not Found",0)</f>
        <v>Electronics</v>
      </c>
      <c r="D179" s="2">
        <v>53</v>
      </c>
      <c r="E179" s="2">
        <v>47</v>
      </c>
      <c r="F179" s="2" t="str" cm="1">
        <f t="array" ref="F179">_xlfn.IFS(Table24[[#This Row],[QuantityInStock]]&lt;=Table24[[#This Row],[ReorderPoint]],"Low Stock",Table24[[#This Row],[QuantityInStock]]&gt;Table24[[#This Row],[ReorderPoint]],"Adequate Stock",Table24[[#This Row],[QuantityInStock]]=0,"Out Of Stock")</f>
        <v>Adequate Stock</v>
      </c>
      <c r="G179" s="2" t="s">
        <v>519</v>
      </c>
      <c r="H179" s="2" t="s">
        <v>523</v>
      </c>
      <c r="I179" s="2">
        <v>15</v>
      </c>
      <c r="J179" s="2" t="s">
        <v>525</v>
      </c>
      <c r="K179" s="2">
        <v>126.32</v>
      </c>
      <c r="L179" s="2">
        <f>Table24[[#This Row],[QuantityInStock]]*Table24[[#This Row],[UnitCost]]</f>
        <v>6694.96</v>
      </c>
    </row>
    <row r="180" spans="1:12" x14ac:dyDescent="0.3">
      <c r="A180" s="2" t="s">
        <v>187</v>
      </c>
      <c r="B180" s="2" t="s">
        <v>509</v>
      </c>
      <c r="C180" s="2" t="str">
        <f>_xlfn.XLOOKUP(Table24[[#This Row],[ProductName]],Table4[Product name],Table4[Category],"Not Found",0)</f>
        <v>Electronics</v>
      </c>
      <c r="D180" s="2">
        <v>273</v>
      </c>
      <c r="E180" s="2">
        <v>60</v>
      </c>
      <c r="F180" s="2" t="str" cm="1">
        <f t="array" ref="F180">_xlfn.IFS(Table24[[#This Row],[QuantityInStock]]&lt;=Table24[[#This Row],[ReorderPoint]],"Low Stock",Table24[[#This Row],[QuantityInStock]]&gt;Table24[[#This Row],[ReorderPoint]],"Adequate Stock",Table24[[#This Row],[QuantityInStock]]=0,"Out Of Stock")</f>
        <v>Adequate Stock</v>
      </c>
      <c r="G180" s="2" t="s">
        <v>518</v>
      </c>
      <c r="H180" s="2" t="s">
        <v>522</v>
      </c>
      <c r="I180" s="2">
        <v>9</v>
      </c>
      <c r="J180" s="2" t="s">
        <v>525</v>
      </c>
      <c r="K180" s="2">
        <v>32.35</v>
      </c>
      <c r="L180" s="2">
        <f>Table24[[#This Row],[QuantityInStock]]*Table24[[#This Row],[UnitCost]]</f>
        <v>8831.5500000000011</v>
      </c>
    </row>
    <row r="181" spans="1:12" x14ac:dyDescent="0.3">
      <c r="A181" s="2" t="s">
        <v>188</v>
      </c>
      <c r="B181" s="2" t="s">
        <v>515</v>
      </c>
      <c r="C181" s="2" t="str">
        <f>_xlfn.XLOOKUP(Table24[[#This Row],[ProductName]],Table4[Product name],Table4[Category],"Not Found",0)</f>
        <v>Electronics</v>
      </c>
      <c r="D181" s="2">
        <v>27</v>
      </c>
      <c r="E181" s="2">
        <v>57</v>
      </c>
      <c r="F181" s="2" t="str" cm="1">
        <f t="array" ref="F181">_xlfn.IFS(Table24[[#This Row],[QuantityInStock]]&lt;=Table24[[#This Row],[ReorderPoint]],"Low Stock",Table24[[#This Row],[QuantityInStock]]&gt;Table24[[#This Row],[ReorderPoint]],"Adequate Stock",Table24[[#This Row],[QuantityInStock]]=0,"Out Of Stock")</f>
        <v>Low Stock</v>
      </c>
      <c r="G181" s="2" t="s">
        <v>516</v>
      </c>
      <c r="H181" s="2" t="s">
        <v>520</v>
      </c>
      <c r="I181" s="2">
        <v>8</v>
      </c>
      <c r="J181" s="2" t="s">
        <v>525</v>
      </c>
      <c r="K181" s="2">
        <v>14.36</v>
      </c>
      <c r="L181" s="2">
        <f>Table24[[#This Row],[QuantityInStock]]*Table24[[#This Row],[UnitCost]]</f>
        <v>387.71999999999997</v>
      </c>
    </row>
    <row r="182" spans="1:12" x14ac:dyDescent="0.3">
      <c r="A182" s="2" t="s">
        <v>189</v>
      </c>
      <c r="B182" s="2" t="s">
        <v>513</v>
      </c>
      <c r="C182" s="2" t="str">
        <f>_xlfn.XLOOKUP(Table24[[#This Row],[ProductName]],Table4[Product name],Table4[Category],"Not Found",0)</f>
        <v>Electronics</v>
      </c>
      <c r="D182" s="2">
        <v>357</v>
      </c>
      <c r="E182" s="2">
        <v>44</v>
      </c>
      <c r="F182" s="2" t="str" cm="1">
        <f t="array" ref="F182">_xlfn.IFS(Table24[[#This Row],[QuantityInStock]]&lt;=Table24[[#This Row],[ReorderPoint]],"Low Stock",Table24[[#This Row],[QuantityInStock]]&gt;Table24[[#This Row],[ReorderPoint]],"Adequate Stock",Table24[[#This Row],[QuantityInStock]]=0,"Out Of Stock")</f>
        <v>Adequate Stock</v>
      </c>
      <c r="G182" s="2" t="s">
        <v>519</v>
      </c>
      <c r="H182" s="2" t="s">
        <v>523</v>
      </c>
      <c r="I182" s="2">
        <v>12</v>
      </c>
      <c r="J182" s="2" t="s">
        <v>525</v>
      </c>
      <c r="K182" s="2">
        <v>5.73</v>
      </c>
      <c r="L182" s="2">
        <f>Table24[[#This Row],[QuantityInStock]]*Table24[[#This Row],[UnitCost]]</f>
        <v>2045.6100000000001</v>
      </c>
    </row>
    <row r="183" spans="1:12" x14ac:dyDescent="0.3">
      <c r="A183" s="2" t="s">
        <v>190</v>
      </c>
      <c r="B183" s="2" t="s">
        <v>509</v>
      </c>
      <c r="C183" s="2" t="str">
        <f>_xlfn.XLOOKUP(Table24[[#This Row],[ProductName]],Table4[Product name],Table4[Category],"Not Found",0)</f>
        <v>Electronics</v>
      </c>
      <c r="D183" s="2">
        <v>414</v>
      </c>
      <c r="E183" s="2">
        <v>25</v>
      </c>
      <c r="F183" s="2" t="str" cm="1">
        <f t="array" ref="F183">_xlfn.IFS(Table24[[#This Row],[QuantityInStock]]&lt;=Table24[[#This Row],[ReorderPoint]],"Low Stock",Table24[[#This Row],[QuantityInStock]]&gt;Table24[[#This Row],[ReorderPoint]],"Adequate Stock",Table24[[#This Row],[QuantityInStock]]=0,"Out Of Stock")</f>
        <v>Adequate Stock</v>
      </c>
      <c r="G183" s="2" t="s">
        <v>518</v>
      </c>
      <c r="H183" s="2" t="s">
        <v>522</v>
      </c>
      <c r="I183" s="2">
        <v>20</v>
      </c>
      <c r="J183" s="2" t="s">
        <v>527</v>
      </c>
      <c r="K183" s="2">
        <v>33.65</v>
      </c>
      <c r="L183" s="2">
        <f>Table24[[#This Row],[QuantityInStock]]*Table24[[#This Row],[UnitCost]]</f>
        <v>13931.099999999999</v>
      </c>
    </row>
    <row r="184" spans="1:12" x14ac:dyDescent="0.3">
      <c r="A184" s="2" t="s">
        <v>191</v>
      </c>
      <c r="B184" s="2" t="s">
        <v>514</v>
      </c>
      <c r="C184" s="2" t="str">
        <f>_xlfn.XLOOKUP(Table24[[#This Row],[ProductName]],Table4[Product name],Table4[Category],"Not Found",0)</f>
        <v>Furniture</v>
      </c>
      <c r="D184" s="2">
        <v>406</v>
      </c>
      <c r="E184" s="2">
        <v>62</v>
      </c>
      <c r="F184" s="2" t="str" cm="1">
        <f t="array" ref="F184">_xlfn.IFS(Table24[[#This Row],[QuantityInStock]]&lt;=Table24[[#This Row],[ReorderPoint]],"Low Stock",Table24[[#This Row],[QuantityInStock]]&gt;Table24[[#This Row],[ReorderPoint]],"Adequate Stock",Table24[[#This Row],[QuantityInStock]]=0,"Out Of Stock")</f>
        <v>Adequate Stock</v>
      </c>
      <c r="G184" s="2" t="s">
        <v>518</v>
      </c>
      <c r="H184" s="2" t="s">
        <v>522</v>
      </c>
      <c r="I184" s="2">
        <v>4</v>
      </c>
      <c r="J184" s="2" t="s">
        <v>528</v>
      </c>
      <c r="K184" s="2">
        <v>199.33</v>
      </c>
      <c r="L184" s="2">
        <f>Table24[[#This Row],[QuantityInStock]]*Table24[[#This Row],[UnitCost]]</f>
        <v>80927.98000000001</v>
      </c>
    </row>
    <row r="185" spans="1:12" x14ac:dyDescent="0.3">
      <c r="A185" s="2" t="s">
        <v>192</v>
      </c>
      <c r="B185" s="2" t="s">
        <v>513</v>
      </c>
      <c r="C185" s="2" t="str">
        <f>_xlfn.XLOOKUP(Table24[[#This Row],[ProductName]],Table4[Product name],Table4[Category],"Not Found",0)</f>
        <v>Electronics</v>
      </c>
      <c r="D185" s="2">
        <v>422</v>
      </c>
      <c r="E185" s="2">
        <v>78</v>
      </c>
      <c r="F185" s="2" t="str" cm="1">
        <f t="array" ref="F185">_xlfn.IFS(Table24[[#This Row],[QuantityInStock]]&lt;=Table24[[#This Row],[ReorderPoint]],"Low Stock",Table24[[#This Row],[QuantityInStock]]&gt;Table24[[#This Row],[ReorderPoint]],"Adequate Stock",Table24[[#This Row],[QuantityInStock]]=0,"Out Of Stock")</f>
        <v>Adequate Stock</v>
      </c>
      <c r="G185" s="2" t="s">
        <v>516</v>
      </c>
      <c r="H185" s="2" t="s">
        <v>520</v>
      </c>
      <c r="I185" s="2">
        <v>13</v>
      </c>
      <c r="J185" s="2" t="s">
        <v>528</v>
      </c>
      <c r="K185" s="2">
        <v>178.68</v>
      </c>
      <c r="L185" s="2">
        <f>Table24[[#This Row],[QuantityInStock]]*Table24[[#This Row],[UnitCost]]</f>
        <v>75402.960000000006</v>
      </c>
    </row>
    <row r="186" spans="1:12" x14ac:dyDescent="0.3">
      <c r="A186" s="2" t="s">
        <v>193</v>
      </c>
      <c r="B186" s="2" t="s">
        <v>511</v>
      </c>
      <c r="C186" s="2" t="str">
        <f>_xlfn.XLOOKUP(Table24[[#This Row],[ProductName]],Table4[Product name],Table4[Category],"Not Found",0)</f>
        <v>Electronics</v>
      </c>
      <c r="D186" s="2">
        <v>37</v>
      </c>
      <c r="E186" s="2">
        <v>49</v>
      </c>
      <c r="F186" s="2" t="str" cm="1">
        <f t="array" ref="F186">_xlfn.IFS(Table24[[#This Row],[QuantityInStock]]&lt;=Table24[[#This Row],[ReorderPoint]],"Low Stock",Table24[[#This Row],[QuantityInStock]]&gt;Table24[[#This Row],[ReorderPoint]],"Adequate Stock",Table24[[#This Row],[QuantityInStock]]=0,"Out Of Stock")</f>
        <v>Low Stock</v>
      </c>
      <c r="G186" s="2" t="s">
        <v>517</v>
      </c>
      <c r="H186" s="2" t="s">
        <v>521</v>
      </c>
      <c r="I186" s="2">
        <v>17</v>
      </c>
      <c r="J186" s="2" t="s">
        <v>528</v>
      </c>
      <c r="K186" s="2">
        <v>159.78</v>
      </c>
      <c r="L186" s="2">
        <f>Table24[[#This Row],[QuantityInStock]]*Table24[[#This Row],[UnitCost]]</f>
        <v>5911.86</v>
      </c>
    </row>
    <row r="187" spans="1:12" x14ac:dyDescent="0.3">
      <c r="A187" s="2" t="s">
        <v>194</v>
      </c>
      <c r="B187" s="2" t="s">
        <v>510</v>
      </c>
      <c r="C187" s="2" t="str">
        <f>_xlfn.XLOOKUP(Table24[[#This Row],[ProductName]],Table4[Product name],Table4[Category],"Not Found",0)</f>
        <v>Electronics</v>
      </c>
      <c r="D187" s="2">
        <v>51</v>
      </c>
      <c r="E187" s="2">
        <v>26</v>
      </c>
      <c r="F187" s="2" t="str" cm="1">
        <f t="array" ref="F187">_xlfn.IFS(Table24[[#This Row],[QuantityInStock]]&lt;=Table24[[#This Row],[ReorderPoint]],"Low Stock",Table24[[#This Row],[QuantityInStock]]&gt;Table24[[#This Row],[ReorderPoint]],"Adequate Stock",Table24[[#This Row],[QuantityInStock]]=0,"Out Of Stock")</f>
        <v>Adequate Stock</v>
      </c>
      <c r="G187" s="2" t="s">
        <v>519</v>
      </c>
      <c r="H187" s="2" t="s">
        <v>523</v>
      </c>
      <c r="I187" s="2">
        <v>19</v>
      </c>
      <c r="J187" s="2" t="s">
        <v>527</v>
      </c>
      <c r="K187" s="2">
        <v>70.77</v>
      </c>
      <c r="L187" s="2">
        <f>Table24[[#This Row],[QuantityInStock]]*Table24[[#This Row],[UnitCost]]</f>
        <v>3609.27</v>
      </c>
    </row>
    <row r="188" spans="1:12" x14ac:dyDescent="0.3">
      <c r="A188" s="2" t="s">
        <v>195</v>
      </c>
      <c r="B188" s="2" t="s">
        <v>514</v>
      </c>
      <c r="C188" s="2" t="str">
        <f>_xlfn.XLOOKUP(Table24[[#This Row],[ProductName]],Table4[Product name],Table4[Category],"Not Found",0)</f>
        <v>Furniture</v>
      </c>
      <c r="D188" s="2">
        <v>92</v>
      </c>
      <c r="E188" s="2">
        <v>40</v>
      </c>
      <c r="F188" s="2" t="str" cm="1">
        <f t="array" ref="F188">_xlfn.IFS(Table24[[#This Row],[QuantityInStock]]&lt;=Table24[[#This Row],[ReorderPoint]],"Low Stock",Table24[[#This Row],[QuantityInStock]]&gt;Table24[[#This Row],[ReorderPoint]],"Adequate Stock",Table24[[#This Row],[QuantityInStock]]=0,"Out Of Stock")</f>
        <v>Adequate Stock</v>
      </c>
      <c r="G188" s="2" t="s">
        <v>517</v>
      </c>
      <c r="H188" s="2" t="s">
        <v>521</v>
      </c>
      <c r="I188" s="2">
        <v>7</v>
      </c>
      <c r="J188" s="2" t="s">
        <v>526</v>
      </c>
      <c r="K188" s="2">
        <v>80.959999999999994</v>
      </c>
      <c r="L188" s="2">
        <f>Table24[[#This Row],[QuantityInStock]]*Table24[[#This Row],[UnitCost]]</f>
        <v>7448.32</v>
      </c>
    </row>
    <row r="189" spans="1:12" x14ac:dyDescent="0.3">
      <c r="A189" s="2" t="s">
        <v>196</v>
      </c>
      <c r="B189" s="2" t="s">
        <v>509</v>
      </c>
      <c r="C189" s="2" t="str">
        <f>_xlfn.XLOOKUP(Table24[[#This Row],[ProductName]],Table4[Product name],Table4[Category],"Not Found",0)</f>
        <v>Electronics</v>
      </c>
      <c r="D189" s="2">
        <v>173</v>
      </c>
      <c r="E189" s="2">
        <v>95</v>
      </c>
      <c r="F189" s="2" t="str" cm="1">
        <f t="array" ref="F189">_xlfn.IFS(Table24[[#This Row],[QuantityInStock]]&lt;=Table24[[#This Row],[ReorderPoint]],"Low Stock",Table24[[#This Row],[QuantityInStock]]&gt;Table24[[#This Row],[ReorderPoint]],"Adequate Stock",Table24[[#This Row],[QuantityInStock]]=0,"Out Of Stock")</f>
        <v>Adequate Stock</v>
      </c>
      <c r="G189" s="2" t="s">
        <v>516</v>
      </c>
      <c r="H189" s="2" t="s">
        <v>520</v>
      </c>
      <c r="I189" s="2">
        <v>11</v>
      </c>
      <c r="J189" s="2" t="s">
        <v>527</v>
      </c>
      <c r="K189" s="2">
        <v>34.26</v>
      </c>
      <c r="L189" s="2">
        <f>Table24[[#This Row],[QuantityInStock]]*Table24[[#This Row],[UnitCost]]</f>
        <v>5926.98</v>
      </c>
    </row>
    <row r="190" spans="1:12" x14ac:dyDescent="0.3">
      <c r="A190" s="2" t="s">
        <v>197</v>
      </c>
      <c r="B190" s="2" t="s">
        <v>513</v>
      </c>
      <c r="C190" s="2" t="str">
        <f>_xlfn.XLOOKUP(Table24[[#This Row],[ProductName]],Table4[Product name],Table4[Category],"Not Found",0)</f>
        <v>Electronics</v>
      </c>
      <c r="D190" s="2">
        <v>293</v>
      </c>
      <c r="E190" s="2">
        <v>81</v>
      </c>
      <c r="F190" s="2" t="str" cm="1">
        <f t="array" ref="F190">_xlfn.IFS(Table24[[#This Row],[QuantityInStock]]&lt;=Table24[[#This Row],[ReorderPoint]],"Low Stock",Table24[[#This Row],[QuantityInStock]]&gt;Table24[[#This Row],[ReorderPoint]],"Adequate Stock",Table24[[#This Row],[QuantityInStock]]=0,"Out Of Stock")</f>
        <v>Adequate Stock</v>
      </c>
      <c r="G190" s="2" t="s">
        <v>518</v>
      </c>
      <c r="H190" s="2" t="s">
        <v>522</v>
      </c>
      <c r="I190" s="2">
        <v>9</v>
      </c>
      <c r="J190" s="2" t="s">
        <v>524</v>
      </c>
      <c r="K190" s="2">
        <v>117.96</v>
      </c>
      <c r="L190" s="2">
        <f>Table24[[#This Row],[QuantityInStock]]*Table24[[#This Row],[UnitCost]]</f>
        <v>34562.28</v>
      </c>
    </row>
    <row r="191" spans="1:12" x14ac:dyDescent="0.3">
      <c r="A191" s="2" t="s">
        <v>198</v>
      </c>
      <c r="B191" s="2" t="s">
        <v>511</v>
      </c>
      <c r="C191" s="2" t="str">
        <f>_xlfn.XLOOKUP(Table24[[#This Row],[ProductName]],Table4[Product name],Table4[Category],"Not Found",0)</f>
        <v>Electronics</v>
      </c>
      <c r="D191" s="2">
        <v>157</v>
      </c>
      <c r="E191" s="2">
        <v>68</v>
      </c>
      <c r="F191" s="2" t="str" cm="1">
        <f t="array" ref="F191">_xlfn.IFS(Table24[[#This Row],[QuantityInStock]]&lt;=Table24[[#This Row],[ReorderPoint]],"Low Stock",Table24[[#This Row],[QuantityInStock]]&gt;Table24[[#This Row],[ReorderPoint]],"Adequate Stock",Table24[[#This Row],[QuantityInStock]]=0,"Out Of Stock")</f>
        <v>Adequate Stock</v>
      </c>
      <c r="G191" s="2" t="s">
        <v>516</v>
      </c>
      <c r="H191" s="2" t="s">
        <v>520</v>
      </c>
      <c r="I191" s="2">
        <v>19</v>
      </c>
      <c r="J191" s="2" t="s">
        <v>524</v>
      </c>
      <c r="K191" s="2">
        <v>90.46</v>
      </c>
      <c r="L191" s="2">
        <f>Table24[[#This Row],[QuantityInStock]]*Table24[[#This Row],[UnitCost]]</f>
        <v>14202.22</v>
      </c>
    </row>
    <row r="192" spans="1:12" x14ac:dyDescent="0.3">
      <c r="A192" s="2" t="s">
        <v>199</v>
      </c>
      <c r="B192" s="2" t="s">
        <v>512</v>
      </c>
      <c r="C192" s="2" t="str">
        <f>_xlfn.XLOOKUP(Table24[[#This Row],[ProductName]],Table4[Product name],Table4[Category],"Not Found",0)</f>
        <v>Furniture</v>
      </c>
      <c r="D192" s="2">
        <v>448</v>
      </c>
      <c r="E192" s="2">
        <v>53</v>
      </c>
      <c r="F192" s="2" t="str" cm="1">
        <f t="array" ref="F192">_xlfn.IFS(Table24[[#This Row],[QuantityInStock]]&lt;=Table24[[#This Row],[ReorderPoint]],"Low Stock",Table24[[#This Row],[QuantityInStock]]&gt;Table24[[#This Row],[ReorderPoint]],"Adequate Stock",Table24[[#This Row],[QuantityInStock]]=0,"Out Of Stock")</f>
        <v>Adequate Stock</v>
      </c>
      <c r="G192" s="2" t="s">
        <v>518</v>
      </c>
      <c r="H192" s="2" t="s">
        <v>522</v>
      </c>
      <c r="I192" s="2">
        <v>13</v>
      </c>
      <c r="J192" s="2" t="s">
        <v>528</v>
      </c>
      <c r="K192" s="2">
        <v>152.66999999999999</v>
      </c>
      <c r="L192" s="2">
        <f>Table24[[#This Row],[QuantityInStock]]*Table24[[#This Row],[UnitCost]]</f>
        <v>68396.159999999989</v>
      </c>
    </row>
    <row r="193" spans="1:12" x14ac:dyDescent="0.3">
      <c r="A193" s="2" t="s">
        <v>200</v>
      </c>
      <c r="B193" s="2" t="s">
        <v>512</v>
      </c>
      <c r="C193" s="2" t="str">
        <f>_xlfn.XLOOKUP(Table24[[#This Row],[ProductName]],Table4[Product name],Table4[Category],"Not Found",0)</f>
        <v>Furniture</v>
      </c>
      <c r="D193" s="2">
        <v>257</v>
      </c>
      <c r="E193" s="2">
        <v>46</v>
      </c>
      <c r="F193" s="2" t="str" cm="1">
        <f t="array" ref="F193">_xlfn.IFS(Table24[[#This Row],[QuantityInStock]]&lt;=Table24[[#This Row],[ReorderPoint]],"Low Stock",Table24[[#This Row],[QuantityInStock]]&gt;Table24[[#This Row],[ReorderPoint]],"Adequate Stock",Table24[[#This Row],[QuantityInStock]]=0,"Out Of Stock")</f>
        <v>Adequate Stock</v>
      </c>
      <c r="G193" s="2" t="s">
        <v>519</v>
      </c>
      <c r="H193" s="2" t="s">
        <v>523</v>
      </c>
      <c r="I193" s="2">
        <v>21</v>
      </c>
      <c r="J193" s="2" t="s">
        <v>526</v>
      </c>
      <c r="K193" s="2">
        <v>119.23</v>
      </c>
      <c r="L193" s="2">
        <f>Table24[[#This Row],[QuantityInStock]]*Table24[[#This Row],[UnitCost]]</f>
        <v>30642.11</v>
      </c>
    </row>
    <row r="194" spans="1:12" x14ac:dyDescent="0.3">
      <c r="A194" s="2" t="s">
        <v>201</v>
      </c>
      <c r="B194" s="2" t="s">
        <v>514</v>
      </c>
      <c r="C194" s="2" t="str">
        <f>_xlfn.XLOOKUP(Table24[[#This Row],[ProductName]],Table4[Product name],Table4[Category],"Not Found",0)</f>
        <v>Furniture</v>
      </c>
      <c r="D194" s="2">
        <v>132</v>
      </c>
      <c r="E194" s="2">
        <v>55</v>
      </c>
      <c r="F194" s="2" t="str" cm="1">
        <f t="array" ref="F194">_xlfn.IFS(Table24[[#This Row],[QuantityInStock]]&lt;=Table24[[#This Row],[ReorderPoint]],"Low Stock",Table24[[#This Row],[QuantityInStock]]&gt;Table24[[#This Row],[ReorderPoint]],"Adequate Stock",Table24[[#This Row],[QuantityInStock]]=0,"Out Of Stock")</f>
        <v>Adequate Stock</v>
      </c>
      <c r="G194" s="2" t="s">
        <v>518</v>
      </c>
      <c r="H194" s="2" t="s">
        <v>522</v>
      </c>
      <c r="I194" s="2">
        <v>4</v>
      </c>
      <c r="J194" s="2" t="s">
        <v>527</v>
      </c>
      <c r="K194" s="2">
        <v>30.93</v>
      </c>
      <c r="L194" s="2">
        <f>Table24[[#This Row],[QuantityInStock]]*Table24[[#This Row],[UnitCost]]</f>
        <v>4082.7599999999998</v>
      </c>
    </row>
    <row r="195" spans="1:12" x14ac:dyDescent="0.3">
      <c r="A195" s="2" t="s">
        <v>202</v>
      </c>
      <c r="B195" s="2" t="s">
        <v>513</v>
      </c>
      <c r="C195" s="2" t="str">
        <f>_xlfn.XLOOKUP(Table24[[#This Row],[ProductName]],Table4[Product name],Table4[Category],"Not Found",0)</f>
        <v>Electronics</v>
      </c>
      <c r="D195" s="2">
        <v>462</v>
      </c>
      <c r="E195" s="2">
        <v>56</v>
      </c>
      <c r="F195" s="2" t="str" cm="1">
        <f t="array" ref="F195">_xlfn.IFS(Table24[[#This Row],[QuantityInStock]]&lt;=Table24[[#This Row],[ReorderPoint]],"Low Stock",Table24[[#This Row],[QuantityInStock]]&gt;Table24[[#This Row],[ReorderPoint]],"Adequate Stock",Table24[[#This Row],[QuantityInStock]]=0,"Out Of Stock")</f>
        <v>Adequate Stock</v>
      </c>
      <c r="G195" s="2" t="s">
        <v>517</v>
      </c>
      <c r="H195" s="2" t="s">
        <v>521</v>
      </c>
      <c r="I195" s="2">
        <v>14</v>
      </c>
      <c r="J195" s="2" t="s">
        <v>524</v>
      </c>
      <c r="K195" s="2">
        <v>69.849999999999994</v>
      </c>
      <c r="L195" s="2">
        <f>Table24[[#This Row],[QuantityInStock]]*Table24[[#This Row],[UnitCost]]</f>
        <v>32270.699999999997</v>
      </c>
    </row>
    <row r="196" spans="1:12" x14ac:dyDescent="0.3">
      <c r="A196" s="2" t="s">
        <v>203</v>
      </c>
      <c r="B196" s="2" t="s">
        <v>511</v>
      </c>
      <c r="C196" s="2" t="str">
        <f>_xlfn.XLOOKUP(Table24[[#This Row],[ProductName]],Table4[Product name],Table4[Category],"Not Found",0)</f>
        <v>Electronics</v>
      </c>
      <c r="D196" s="2">
        <v>342</v>
      </c>
      <c r="E196" s="2">
        <v>98</v>
      </c>
      <c r="F196" s="2" t="str" cm="1">
        <f t="array" ref="F196">_xlfn.IFS(Table24[[#This Row],[QuantityInStock]]&lt;=Table24[[#This Row],[ReorderPoint]],"Low Stock",Table24[[#This Row],[QuantityInStock]]&gt;Table24[[#This Row],[ReorderPoint]],"Adequate Stock",Table24[[#This Row],[QuantityInStock]]=0,"Out Of Stock")</f>
        <v>Adequate Stock</v>
      </c>
      <c r="G196" s="2" t="s">
        <v>516</v>
      </c>
      <c r="H196" s="2" t="s">
        <v>520</v>
      </c>
      <c r="I196" s="2">
        <v>11</v>
      </c>
      <c r="J196" s="2" t="s">
        <v>524</v>
      </c>
      <c r="K196" s="2">
        <v>24.8</v>
      </c>
      <c r="L196" s="2">
        <f>Table24[[#This Row],[QuantityInStock]]*Table24[[#This Row],[UnitCost]]</f>
        <v>8481.6</v>
      </c>
    </row>
    <row r="197" spans="1:12" x14ac:dyDescent="0.3">
      <c r="A197" s="2" t="s">
        <v>204</v>
      </c>
      <c r="B197" s="2" t="s">
        <v>513</v>
      </c>
      <c r="C197" s="2" t="str">
        <f>_xlfn.XLOOKUP(Table24[[#This Row],[ProductName]],Table4[Product name],Table4[Category],"Not Found",0)</f>
        <v>Electronics</v>
      </c>
      <c r="D197" s="2">
        <v>104</v>
      </c>
      <c r="E197" s="2">
        <v>37</v>
      </c>
      <c r="F197" s="2" t="str" cm="1">
        <f t="array" ref="F197">_xlfn.IFS(Table24[[#This Row],[QuantityInStock]]&lt;=Table24[[#This Row],[ReorderPoint]],"Low Stock",Table24[[#This Row],[QuantityInStock]]&gt;Table24[[#This Row],[ReorderPoint]],"Adequate Stock",Table24[[#This Row],[QuantityInStock]]=0,"Out Of Stock")</f>
        <v>Adequate Stock</v>
      </c>
      <c r="G197" s="2" t="s">
        <v>516</v>
      </c>
      <c r="H197" s="2" t="s">
        <v>520</v>
      </c>
      <c r="I197" s="2">
        <v>13</v>
      </c>
      <c r="J197" s="2" t="s">
        <v>528</v>
      </c>
      <c r="K197" s="2">
        <v>184.82</v>
      </c>
      <c r="L197" s="2">
        <f>Table24[[#This Row],[QuantityInStock]]*Table24[[#This Row],[UnitCost]]</f>
        <v>19221.28</v>
      </c>
    </row>
    <row r="198" spans="1:12" x14ac:dyDescent="0.3">
      <c r="A198" s="2" t="s">
        <v>205</v>
      </c>
      <c r="B198" s="2" t="s">
        <v>511</v>
      </c>
      <c r="C198" s="2" t="str">
        <f>_xlfn.XLOOKUP(Table24[[#This Row],[ProductName]],Table4[Product name],Table4[Category],"Not Found",0)</f>
        <v>Electronics</v>
      </c>
      <c r="D198" s="2">
        <v>493</v>
      </c>
      <c r="E198" s="2">
        <v>64</v>
      </c>
      <c r="F198" s="2" t="str" cm="1">
        <f t="array" ref="F198">_xlfn.IFS(Table24[[#This Row],[QuantityInStock]]&lt;=Table24[[#This Row],[ReorderPoint]],"Low Stock",Table24[[#This Row],[QuantityInStock]]&gt;Table24[[#This Row],[ReorderPoint]],"Adequate Stock",Table24[[#This Row],[QuantityInStock]]=0,"Out Of Stock")</f>
        <v>Adequate Stock</v>
      </c>
      <c r="G198" s="2" t="s">
        <v>516</v>
      </c>
      <c r="H198" s="2" t="s">
        <v>520</v>
      </c>
      <c r="I198" s="2">
        <v>16</v>
      </c>
      <c r="J198" s="2" t="s">
        <v>525</v>
      </c>
      <c r="K198" s="2">
        <v>148.71</v>
      </c>
      <c r="L198" s="2">
        <f>Table24[[#This Row],[QuantityInStock]]*Table24[[#This Row],[UnitCost]]</f>
        <v>73314.03</v>
      </c>
    </row>
    <row r="199" spans="1:12" x14ac:dyDescent="0.3">
      <c r="A199" s="2" t="s">
        <v>206</v>
      </c>
      <c r="B199" s="2" t="s">
        <v>511</v>
      </c>
      <c r="C199" s="2" t="str">
        <f>_xlfn.XLOOKUP(Table24[[#This Row],[ProductName]],Table4[Product name],Table4[Category],"Not Found",0)</f>
        <v>Electronics</v>
      </c>
      <c r="D199" s="2">
        <v>212</v>
      </c>
      <c r="E199" s="2">
        <v>95</v>
      </c>
      <c r="F199" s="2" t="str" cm="1">
        <f t="array" ref="F199">_xlfn.IFS(Table24[[#This Row],[QuantityInStock]]&lt;=Table24[[#This Row],[ReorderPoint]],"Low Stock",Table24[[#This Row],[QuantityInStock]]&gt;Table24[[#This Row],[ReorderPoint]],"Adequate Stock",Table24[[#This Row],[QuantityInStock]]=0,"Out Of Stock")</f>
        <v>Adequate Stock</v>
      </c>
      <c r="G199" s="2" t="s">
        <v>517</v>
      </c>
      <c r="H199" s="2" t="s">
        <v>521</v>
      </c>
      <c r="I199" s="2">
        <v>9</v>
      </c>
      <c r="J199" s="2" t="s">
        <v>527</v>
      </c>
      <c r="K199" s="2">
        <v>146.97999999999999</v>
      </c>
      <c r="L199" s="2">
        <f>Table24[[#This Row],[QuantityInStock]]*Table24[[#This Row],[UnitCost]]</f>
        <v>31159.759999999998</v>
      </c>
    </row>
    <row r="200" spans="1:12" x14ac:dyDescent="0.3">
      <c r="A200" s="2" t="s">
        <v>207</v>
      </c>
      <c r="B200" s="2" t="s">
        <v>511</v>
      </c>
      <c r="C200" s="2" t="str">
        <f>_xlfn.XLOOKUP(Table24[[#This Row],[ProductName]],Table4[Product name],Table4[Category],"Not Found",0)</f>
        <v>Electronics</v>
      </c>
      <c r="D200" s="2">
        <v>337</v>
      </c>
      <c r="E200" s="2">
        <v>49</v>
      </c>
      <c r="F200" s="2" t="str" cm="1">
        <f t="array" ref="F200">_xlfn.IFS(Table24[[#This Row],[QuantityInStock]]&lt;=Table24[[#This Row],[ReorderPoint]],"Low Stock",Table24[[#This Row],[QuantityInStock]]&gt;Table24[[#This Row],[ReorderPoint]],"Adequate Stock",Table24[[#This Row],[QuantityInStock]]=0,"Out Of Stock")</f>
        <v>Adequate Stock</v>
      </c>
      <c r="G200" s="2" t="s">
        <v>518</v>
      </c>
      <c r="H200" s="2" t="s">
        <v>522</v>
      </c>
      <c r="I200" s="2">
        <v>15</v>
      </c>
      <c r="J200" s="2" t="s">
        <v>525</v>
      </c>
      <c r="K200" s="2">
        <v>15.87</v>
      </c>
      <c r="L200" s="2">
        <f>Table24[[#This Row],[QuantityInStock]]*Table24[[#This Row],[UnitCost]]</f>
        <v>5348.19</v>
      </c>
    </row>
    <row r="201" spans="1:12" x14ac:dyDescent="0.3">
      <c r="A201" s="2" t="s">
        <v>208</v>
      </c>
      <c r="B201" s="2" t="s">
        <v>513</v>
      </c>
      <c r="C201" s="2" t="str">
        <f>_xlfn.XLOOKUP(Table24[[#This Row],[ProductName]],Table4[Product name],Table4[Category],"Not Found",0)</f>
        <v>Electronics</v>
      </c>
      <c r="D201" s="2">
        <v>71</v>
      </c>
      <c r="E201" s="2">
        <v>50</v>
      </c>
      <c r="F201" s="2" t="str" cm="1">
        <f t="array" ref="F201">_xlfn.IFS(Table24[[#This Row],[QuantityInStock]]&lt;=Table24[[#This Row],[ReorderPoint]],"Low Stock",Table24[[#This Row],[QuantityInStock]]&gt;Table24[[#This Row],[ReorderPoint]],"Adequate Stock",Table24[[#This Row],[QuantityInStock]]=0,"Out Of Stock")</f>
        <v>Adequate Stock</v>
      </c>
      <c r="G201" s="2" t="s">
        <v>518</v>
      </c>
      <c r="H201" s="2" t="s">
        <v>522</v>
      </c>
      <c r="I201" s="2">
        <v>5</v>
      </c>
      <c r="J201" s="2" t="s">
        <v>526</v>
      </c>
      <c r="K201" s="2">
        <v>38.58</v>
      </c>
      <c r="L201" s="2">
        <f>Table24[[#This Row],[QuantityInStock]]*Table24[[#This Row],[UnitCost]]</f>
        <v>2739.18</v>
      </c>
    </row>
    <row r="202" spans="1:12" x14ac:dyDescent="0.3">
      <c r="A202" s="2" t="s">
        <v>209</v>
      </c>
      <c r="B202" s="2" t="s">
        <v>510</v>
      </c>
      <c r="C202" s="2" t="str">
        <f>_xlfn.XLOOKUP(Table24[[#This Row],[ProductName]],Table4[Product name],Table4[Category],"Not Found",0)</f>
        <v>Electronics</v>
      </c>
      <c r="D202" s="2">
        <v>89</v>
      </c>
      <c r="E202" s="2">
        <v>31</v>
      </c>
      <c r="F202" s="2" t="str" cm="1">
        <f t="array" ref="F202">_xlfn.IFS(Table24[[#This Row],[QuantityInStock]]&lt;=Table24[[#This Row],[ReorderPoint]],"Low Stock",Table24[[#This Row],[QuantityInStock]]&gt;Table24[[#This Row],[ReorderPoint]],"Adequate Stock",Table24[[#This Row],[QuantityInStock]]=0,"Out Of Stock")</f>
        <v>Adequate Stock</v>
      </c>
      <c r="G202" s="2" t="s">
        <v>516</v>
      </c>
      <c r="H202" s="2" t="s">
        <v>520</v>
      </c>
      <c r="I202" s="2">
        <v>13</v>
      </c>
      <c r="J202" s="2" t="s">
        <v>528</v>
      </c>
      <c r="K202" s="2">
        <v>142.34</v>
      </c>
      <c r="L202" s="2">
        <f>Table24[[#This Row],[QuantityInStock]]*Table24[[#This Row],[UnitCost]]</f>
        <v>12668.26</v>
      </c>
    </row>
    <row r="203" spans="1:12" x14ac:dyDescent="0.3">
      <c r="A203" s="2" t="s">
        <v>210</v>
      </c>
      <c r="B203" s="2" t="s">
        <v>515</v>
      </c>
      <c r="C203" s="2" t="str">
        <f>_xlfn.XLOOKUP(Table24[[#This Row],[ProductName]],Table4[Product name],Table4[Category],"Not Found",0)</f>
        <v>Electronics</v>
      </c>
      <c r="D203" s="2">
        <v>70</v>
      </c>
      <c r="E203" s="2">
        <v>73</v>
      </c>
      <c r="F203" s="2" t="str" cm="1">
        <f t="array" ref="F203">_xlfn.IFS(Table24[[#This Row],[QuantityInStock]]&lt;=Table24[[#This Row],[ReorderPoint]],"Low Stock",Table24[[#This Row],[QuantityInStock]]&gt;Table24[[#This Row],[ReorderPoint]],"Adequate Stock",Table24[[#This Row],[QuantityInStock]]=0,"Out Of Stock")</f>
        <v>Low Stock</v>
      </c>
      <c r="G203" s="2" t="s">
        <v>518</v>
      </c>
      <c r="H203" s="2" t="s">
        <v>522</v>
      </c>
      <c r="I203" s="2">
        <v>14</v>
      </c>
      <c r="J203" s="2" t="s">
        <v>526</v>
      </c>
      <c r="K203" s="2">
        <v>49.38</v>
      </c>
      <c r="L203" s="2">
        <f>Table24[[#This Row],[QuantityInStock]]*Table24[[#This Row],[UnitCost]]</f>
        <v>3456.6000000000004</v>
      </c>
    </row>
    <row r="204" spans="1:12" x14ac:dyDescent="0.3">
      <c r="A204" s="2" t="s">
        <v>211</v>
      </c>
      <c r="B204" s="2" t="s">
        <v>509</v>
      </c>
      <c r="C204" s="2" t="str">
        <f>_xlfn.XLOOKUP(Table24[[#This Row],[ProductName]],Table4[Product name],Table4[Category],"Not Found",0)</f>
        <v>Electronics</v>
      </c>
      <c r="D204" s="2">
        <v>331</v>
      </c>
      <c r="E204" s="2">
        <v>85</v>
      </c>
      <c r="F204" s="2" t="str" cm="1">
        <f t="array" ref="F204">_xlfn.IFS(Table24[[#This Row],[QuantityInStock]]&lt;=Table24[[#This Row],[ReorderPoint]],"Low Stock",Table24[[#This Row],[QuantityInStock]]&gt;Table24[[#This Row],[ReorderPoint]],"Adequate Stock",Table24[[#This Row],[QuantityInStock]]=0,"Out Of Stock")</f>
        <v>Adequate Stock</v>
      </c>
      <c r="G204" s="2" t="s">
        <v>517</v>
      </c>
      <c r="H204" s="2" t="s">
        <v>521</v>
      </c>
      <c r="I204" s="2">
        <v>15</v>
      </c>
      <c r="J204" s="2" t="s">
        <v>526</v>
      </c>
      <c r="K204" s="2">
        <v>101.27</v>
      </c>
      <c r="L204" s="2">
        <f>Table24[[#This Row],[QuantityInStock]]*Table24[[#This Row],[UnitCost]]</f>
        <v>33520.369999999995</v>
      </c>
    </row>
    <row r="205" spans="1:12" x14ac:dyDescent="0.3">
      <c r="A205" s="2" t="s">
        <v>212</v>
      </c>
      <c r="B205" s="2" t="s">
        <v>511</v>
      </c>
      <c r="C205" s="2" t="str">
        <f>_xlfn.XLOOKUP(Table24[[#This Row],[ProductName]],Table4[Product name],Table4[Category],"Not Found",0)</f>
        <v>Electronics</v>
      </c>
      <c r="D205" s="2">
        <v>357</v>
      </c>
      <c r="E205" s="2">
        <v>82</v>
      </c>
      <c r="F205" s="2" t="str" cm="1">
        <f t="array" ref="F205">_xlfn.IFS(Table24[[#This Row],[QuantityInStock]]&lt;=Table24[[#This Row],[ReorderPoint]],"Low Stock",Table24[[#This Row],[QuantityInStock]]&gt;Table24[[#This Row],[ReorderPoint]],"Adequate Stock",Table24[[#This Row],[QuantityInStock]]=0,"Out Of Stock")</f>
        <v>Adequate Stock</v>
      </c>
      <c r="G205" s="2" t="s">
        <v>519</v>
      </c>
      <c r="H205" s="2" t="s">
        <v>523</v>
      </c>
      <c r="I205" s="2">
        <v>3</v>
      </c>
      <c r="J205" s="2" t="s">
        <v>528</v>
      </c>
      <c r="K205" s="2">
        <v>100.15</v>
      </c>
      <c r="L205" s="2">
        <f>Table24[[#This Row],[QuantityInStock]]*Table24[[#This Row],[UnitCost]]</f>
        <v>35753.550000000003</v>
      </c>
    </row>
    <row r="206" spans="1:12" x14ac:dyDescent="0.3">
      <c r="A206" s="2" t="s">
        <v>213</v>
      </c>
      <c r="B206" s="2" t="s">
        <v>510</v>
      </c>
      <c r="C206" s="2" t="str">
        <f>_xlfn.XLOOKUP(Table24[[#This Row],[ProductName]],Table4[Product name],Table4[Category],"Not Found",0)</f>
        <v>Electronics</v>
      </c>
      <c r="D206" s="2">
        <v>443</v>
      </c>
      <c r="E206" s="2">
        <v>61</v>
      </c>
      <c r="F206" s="2" t="str" cm="1">
        <f t="array" ref="F206">_xlfn.IFS(Table24[[#This Row],[QuantityInStock]]&lt;=Table24[[#This Row],[ReorderPoint]],"Low Stock",Table24[[#This Row],[QuantityInStock]]&gt;Table24[[#This Row],[ReorderPoint]],"Adequate Stock",Table24[[#This Row],[QuantityInStock]]=0,"Out Of Stock")</f>
        <v>Adequate Stock</v>
      </c>
      <c r="G206" s="2" t="s">
        <v>518</v>
      </c>
      <c r="H206" s="2" t="s">
        <v>522</v>
      </c>
      <c r="I206" s="2">
        <v>18</v>
      </c>
      <c r="J206" s="2" t="s">
        <v>525</v>
      </c>
      <c r="K206" s="2">
        <v>88.96</v>
      </c>
      <c r="L206" s="2">
        <f>Table24[[#This Row],[QuantityInStock]]*Table24[[#This Row],[UnitCost]]</f>
        <v>39409.279999999999</v>
      </c>
    </row>
    <row r="207" spans="1:12" x14ac:dyDescent="0.3">
      <c r="A207" s="2" t="s">
        <v>214</v>
      </c>
      <c r="B207" s="2" t="s">
        <v>510</v>
      </c>
      <c r="C207" s="2" t="str">
        <f>_xlfn.XLOOKUP(Table24[[#This Row],[ProductName]],Table4[Product name],Table4[Category],"Not Found",0)</f>
        <v>Electronics</v>
      </c>
      <c r="D207" s="2">
        <v>442</v>
      </c>
      <c r="E207" s="2">
        <v>61</v>
      </c>
      <c r="F207" s="2" t="str" cm="1">
        <f t="array" ref="F207">_xlfn.IFS(Table24[[#This Row],[QuantityInStock]]&lt;=Table24[[#This Row],[ReorderPoint]],"Low Stock",Table24[[#This Row],[QuantityInStock]]&gt;Table24[[#This Row],[ReorderPoint]],"Adequate Stock",Table24[[#This Row],[QuantityInStock]]=0,"Out Of Stock")</f>
        <v>Adequate Stock</v>
      </c>
      <c r="G207" s="2" t="s">
        <v>516</v>
      </c>
      <c r="H207" s="2" t="s">
        <v>520</v>
      </c>
      <c r="I207" s="2">
        <v>7</v>
      </c>
      <c r="J207" s="2" t="s">
        <v>526</v>
      </c>
      <c r="K207" s="2">
        <v>74.94</v>
      </c>
      <c r="L207" s="2">
        <f>Table24[[#This Row],[QuantityInStock]]*Table24[[#This Row],[UnitCost]]</f>
        <v>33123.479999999996</v>
      </c>
    </row>
    <row r="208" spans="1:12" x14ac:dyDescent="0.3">
      <c r="A208" s="2" t="s">
        <v>215</v>
      </c>
      <c r="B208" s="2" t="s">
        <v>512</v>
      </c>
      <c r="C208" s="2" t="str">
        <f>_xlfn.XLOOKUP(Table24[[#This Row],[ProductName]],Table4[Product name],Table4[Category],"Not Found",0)</f>
        <v>Furniture</v>
      </c>
      <c r="D208" s="2">
        <v>500</v>
      </c>
      <c r="E208" s="2">
        <v>62</v>
      </c>
      <c r="F208" s="2" t="str" cm="1">
        <f t="array" ref="F208">_xlfn.IFS(Table24[[#This Row],[QuantityInStock]]&lt;=Table24[[#This Row],[ReorderPoint]],"Low Stock",Table24[[#This Row],[QuantityInStock]]&gt;Table24[[#This Row],[ReorderPoint]],"Adequate Stock",Table24[[#This Row],[QuantityInStock]]=0,"Out Of Stock")</f>
        <v>Adequate Stock</v>
      </c>
      <c r="G208" s="2" t="s">
        <v>516</v>
      </c>
      <c r="H208" s="2" t="s">
        <v>520</v>
      </c>
      <c r="I208" s="2">
        <v>9</v>
      </c>
      <c r="J208" s="2" t="s">
        <v>527</v>
      </c>
      <c r="K208" s="2">
        <v>141.46</v>
      </c>
      <c r="L208" s="2">
        <f>Table24[[#This Row],[QuantityInStock]]*Table24[[#This Row],[UnitCost]]</f>
        <v>70730</v>
      </c>
    </row>
    <row r="209" spans="1:12" x14ac:dyDescent="0.3">
      <c r="A209" s="2" t="s">
        <v>216</v>
      </c>
      <c r="B209" s="2" t="s">
        <v>514</v>
      </c>
      <c r="C209" s="2" t="str">
        <f>_xlfn.XLOOKUP(Table24[[#This Row],[ProductName]],Table4[Product name],Table4[Category],"Not Found",0)</f>
        <v>Furniture</v>
      </c>
      <c r="D209" s="2">
        <v>497</v>
      </c>
      <c r="E209" s="2">
        <v>74</v>
      </c>
      <c r="F209" s="2" t="str" cm="1">
        <f t="array" ref="F209">_xlfn.IFS(Table24[[#This Row],[QuantityInStock]]&lt;=Table24[[#This Row],[ReorderPoint]],"Low Stock",Table24[[#This Row],[QuantityInStock]]&gt;Table24[[#This Row],[ReorderPoint]],"Adequate Stock",Table24[[#This Row],[QuantityInStock]]=0,"Out Of Stock")</f>
        <v>Adequate Stock</v>
      </c>
      <c r="G209" s="2" t="s">
        <v>516</v>
      </c>
      <c r="H209" s="2" t="s">
        <v>520</v>
      </c>
      <c r="I209" s="2">
        <v>20</v>
      </c>
      <c r="J209" s="2" t="s">
        <v>528</v>
      </c>
      <c r="K209" s="2">
        <v>159.19</v>
      </c>
      <c r="L209" s="2">
        <f>Table24[[#This Row],[QuantityInStock]]*Table24[[#This Row],[UnitCost]]</f>
        <v>79117.429999999993</v>
      </c>
    </row>
    <row r="210" spans="1:12" x14ac:dyDescent="0.3">
      <c r="A210" s="2" t="s">
        <v>217</v>
      </c>
      <c r="B210" s="2" t="s">
        <v>509</v>
      </c>
      <c r="C210" s="2" t="str">
        <f>_xlfn.XLOOKUP(Table24[[#This Row],[ProductName]],Table4[Product name],Table4[Category],"Not Found",0)</f>
        <v>Electronics</v>
      </c>
      <c r="D210" s="2">
        <v>440</v>
      </c>
      <c r="E210" s="2">
        <v>47</v>
      </c>
      <c r="F210" s="2" t="str" cm="1">
        <f t="array" ref="F210">_xlfn.IFS(Table24[[#This Row],[QuantityInStock]]&lt;=Table24[[#This Row],[ReorderPoint]],"Low Stock",Table24[[#This Row],[QuantityInStock]]&gt;Table24[[#This Row],[ReorderPoint]],"Adequate Stock",Table24[[#This Row],[QuantityInStock]]=0,"Out Of Stock")</f>
        <v>Adequate Stock</v>
      </c>
      <c r="G210" s="2" t="s">
        <v>518</v>
      </c>
      <c r="H210" s="2" t="s">
        <v>522</v>
      </c>
      <c r="I210" s="2">
        <v>17</v>
      </c>
      <c r="J210" s="2" t="s">
        <v>528</v>
      </c>
      <c r="K210" s="2">
        <v>154.55000000000001</v>
      </c>
      <c r="L210" s="2">
        <f>Table24[[#This Row],[QuantityInStock]]*Table24[[#This Row],[UnitCost]]</f>
        <v>68002</v>
      </c>
    </row>
    <row r="211" spans="1:12" x14ac:dyDescent="0.3">
      <c r="A211" s="2" t="s">
        <v>218</v>
      </c>
      <c r="B211" s="2" t="s">
        <v>515</v>
      </c>
      <c r="C211" s="2" t="str">
        <f>_xlfn.XLOOKUP(Table24[[#This Row],[ProductName]],Table4[Product name],Table4[Category],"Not Found",0)</f>
        <v>Electronics</v>
      </c>
      <c r="D211" s="2">
        <v>468</v>
      </c>
      <c r="E211" s="2">
        <v>99</v>
      </c>
      <c r="F211" s="2" t="str" cm="1">
        <f t="array" ref="F211">_xlfn.IFS(Table24[[#This Row],[QuantityInStock]]&lt;=Table24[[#This Row],[ReorderPoint]],"Low Stock",Table24[[#This Row],[QuantityInStock]]&gt;Table24[[#This Row],[ReorderPoint]],"Adequate Stock",Table24[[#This Row],[QuantityInStock]]=0,"Out Of Stock")</f>
        <v>Adequate Stock</v>
      </c>
      <c r="G211" s="2" t="s">
        <v>517</v>
      </c>
      <c r="H211" s="2" t="s">
        <v>521</v>
      </c>
      <c r="I211" s="2">
        <v>17</v>
      </c>
      <c r="J211" s="2" t="s">
        <v>527</v>
      </c>
      <c r="K211" s="2">
        <v>4.8899999999999997</v>
      </c>
      <c r="L211" s="2">
        <f>Table24[[#This Row],[QuantityInStock]]*Table24[[#This Row],[UnitCost]]</f>
        <v>2288.52</v>
      </c>
    </row>
    <row r="212" spans="1:12" x14ac:dyDescent="0.3">
      <c r="A212" s="2" t="s">
        <v>219</v>
      </c>
      <c r="B212" s="2" t="s">
        <v>515</v>
      </c>
      <c r="C212" s="2" t="str">
        <f>_xlfn.XLOOKUP(Table24[[#This Row],[ProductName]],Table4[Product name],Table4[Category],"Not Found",0)</f>
        <v>Electronics</v>
      </c>
      <c r="D212" s="2">
        <v>484</v>
      </c>
      <c r="E212" s="2">
        <v>89</v>
      </c>
      <c r="F212" s="2" t="str" cm="1">
        <f t="array" ref="F212">_xlfn.IFS(Table24[[#This Row],[QuantityInStock]]&lt;=Table24[[#This Row],[ReorderPoint]],"Low Stock",Table24[[#This Row],[QuantityInStock]]&gt;Table24[[#This Row],[ReorderPoint]],"Adequate Stock",Table24[[#This Row],[QuantityInStock]]=0,"Out Of Stock")</f>
        <v>Adequate Stock</v>
      </c>
      <c r="G212" s="2" t="s">
        <v>517</v>
      </c>
      <c r="H212" s="2" t="s">
        <v>521</v>
      </c>
      <c r="I212" s="2">
        <v>3</v>
      </c>
      <c r="J212" s="2" t="s">
        <v>526</v>
      </c>
      <c r="K212" s="2">
        <v>121.81</v>
      </c>
      <c r="L212" s="2">
        <f>Table24[[#This Row],[QuantityInStock]]*Table24[[#This Row],[UnitCost]]</f>
        <v>58956.04</v>
      </c>
    </row>
    <row r="213" spans="1:12" x14ac:dyDescent="0.3">
      <c r="A213" s="2" t="s">
        <v>220</v>
      </c>
      <c r="B213" s="2" t="s">
        <v>510</v>
      </c>
      <c r="C213" s="2" t="str">
        <f>_xlfn.XLOOKUP(Table24[[#This Row],[ProductName]],Table4[Product name],Table4[Category],"Not Found",0)</f>
        <v>Electronics</v>
      </c>
      <c r="D213" s="2">
        <v>262</v>
      </c>
      <c r="E213" s="2">
        <v>60</v>
      </c>
      <c r="F213" s="2" t="str" cm="1">
        <f t="array" ref="F213">_xlfn.IFS(Table24[[#This Row],[QuantityInStock]]&lt;=Table24[[#This Row],[ReorderPoint]],"Low Stock",Table24[[#This Row],[QuantityInStock]]&gt;Table24[[#This Row],[ReorderPoint]],"Adequate Stock",Table24[[#This Row],[QuantityInStock]]=0,"Out Of Stock")</f>
        <v>Adequate Stock</v>
      </c>
      <c r="G213" s="2" t="s">
        <v>517</v>
      </c>
      <c r="H213" s="2" t="s">
        <v>521</v>
      </c>
      <c r="I213" s="2">
        <v>7</v>
      </c>
      <c r="J213" s="2" t="s">
        <v>527</v>
      </c>
      <c r="K213" s="2">
        <v>157.86000000000001</v>
      </c>
      <c r="L213" s="2">
        <f>Table24[[#This Row],[QuantityInStock]]*Table24[[#This Row],[UnitCost]]</f>
        <v>41359.320000000007</v>
      </c>
    </row>
    <row r="214" spans="1:12" x14ac:dyDescent="0.3">
      <c r="A214" s="2" t="s">
        <v>221</v>
      </c>
      <c r="B214" s="2" t="s">
        <v>511</v>
      </c>
      <c r="C214" s="2" t="str">
        <f>_xlfn.XLOOKUP(Table24[[#This Row],[ProductName]],Table4[Product name],Table4[Category],"Not Found",0)</f>
        <v>Electronics</v>
      </c>
      <c r="D214" s="2">
        <v>378</v>
      </c>
      <c r="E214" s="2">
        <v>64</v>
      </c>
      <c r="F214" s="2" t="str" cm="1">
        <f t="array" ref="F214">_xlfn.IFS(Table24[[#This Row],[QuantityInStock]]&lt;=Table24[[#This Row],[ReorderPoint]],"Low Stock",Table24[[#This Row],[QuantityInStock]]&gt;Table24[[#This Row],[ReorderPoint]],"Adequate Stock",Table24[[#This Row],[QuantityInStock]]=0,"Out Of Stock")</f>
        <v>Adequate Stock</v>
      </c>
      <c r="G214" s="2" t="s">
        <v>517</v>
      </c>
      <c r="H214" s="2" t="s">
        <v>521</v>
      </c>
      <c r="I214" s="2">
        <v>11</v>
      </c>
      <c r="J214" s="2" t="s">
        <v>526</v>
      </c>
      <c r="K214" s="2">
        <v>13.9</v>
      </c>
      <c r="L214" s="2">
        <f>Table24[[#This Row],[QuantityInStock]]*Table24[[#This Row],[UnitCost]]</f>
        <v>5254.2</v>
      </c>
    </row>
    <row r="215" spans="1:12" x14ac:dyDescent="0.3">
      <c r="A215" s="2" t="s">
        <v>222</v>
      </c>
      <c r="B215" s="2" t="s">
        <v>510</v>
      </c>
      <c r="C215" s="2" t="str">
        <f>_xlfn.XLOOKUP(Table24[[#This Row],[ProductName]],Table4[Product name],Table4[Category],"Not Found",0)</f>
        <v>Electronics</v>
      </c>
      <c r="D215" s="2">
        <v>166</v>
      </c>
      <c r="E215" s="2">
        <v>94</v>
      </c>
      <c r="F215" s="2" t="str" cm="1">
        <f t="array" ref="F215">_xlfn.IFS(Table24[[#This Row],[QuantityInStock]]&lt;=Table24[[#This Row],[ReorderPoint]],"Low Stock",Table24[[#This Row],[QuantityInStock]]&gt;Table24[[#This Row],[ReorderPoint]],"Adequate Stock",Table24[[#This Row],[QuantityInStock]]=0,"Out Of Stock")</f>
        <v>Adequate Stock</v>
      </c>
      <c r="G215" s="2" t="s">
        <v>516</v>
      </c>
      <c r="H215" s="2" t="s">
        <v>520</v>
      </c>
      <c r="I215" s="2">
        <v>7</v>
      </c>
      <c r="J215" s="2" t="s">
        <v>524</v>
      </c>
      <c r="K215" s="2">
        <v>30.06</v>
      </c>
      <c r="L215" s="2">
        <f>Table24[[#This Row],[QuantityInStock]]*Table24[[#This Row],[UnitCost]]</f>
        <v>4989.96</v>
      </c>
    </row>
    <row r="216" spans="1:12" x14ac:dyDescent="0.3">
      <c r="A216" s="2" t="s">
        <v>223</v>
      </c>
      <c r="B216" s="2" t="s">
        <v>515</v>
      </c>
      <c r="C216" s="2" t="str">
        <f>_xlfn.XLOOKUP(Table24[[#This Row],[ProductName]],Table4[Product name],Table4[Category],"Not Found",0)</f>
        <v>Electronics</v>
      </c>
      <c r="D216" s="2">
        <v>497</v>
      </c>
      <c r="E216" s="2">
        <v>60</v>
      </c>
      <c r="F216" s="2" t="str" cm="1">
        <f t="array" ref="F216">_xlfn.IFS(Table24[[#This Row],[QuantityInStock]]&lt;=Table24[[#This Row],[ReorderPoint]],"Low Stock",Table24[[#This Row],[QuantityInStock]]&gt;Table24[[#This Row],[ReorderPoint]],"Adequate Stock",Table24[[#This Row],[QuantityInStock]]=0,"Out Of Stock")</f>
        <v>Adequate Stock</v>
      </c>
      <c r="G216" s="2" t="s">
        <v>516</v>
      </c>
      <c r="H216" s="2" t="s">
        <v>520</v>
      </c>
      <c r="I216" s="2">
        <v>21</v>
      </c>
      <c r="J216" s="2" t="s">
        <v>527</v>
      </c>
      <c r="K216" s="2">
        <v>114.2</v>
      </c>
      <c r="L216" s="2">
        <f>Table24[[#This Row],[QuantityInStock]]*Table24[[#This Row],[UnitCost]]</f>
        <v>56757.4</v>
      </c>
    </row>
    <row r="217" spans="1:12" x14ac:dyDescent="0.3">
      <c r="A217" s="2" t="s">
        <v>224</v>
      </c>
      <c r="B217" s="2" t="s">
        <v>512</v>
      </c>
      <c r="C217" s="2" t="str">
        <f>_xlfn.XLOOKUP(Table24[[#This Row],[ProductName]],Table4[Product name],Table4[Category],"Not Found",0)</f>
        <v>Furniture</v>
      </c>
      <c r="D217" s="2">
        <v>146</v>
      </c>
      <c r="E217" s="2">
        <v>39</v>
      </c>
      <c r="F217" s="2" t="str" cm="1">
        <f t="array" ref="F217">_xlfn.IFS(Table24[[#This Row],[QuantityInStock]]&lt;=Table24[[#This Row],[ReorderPoint]],"Low Stock",Table24[[#This Row],[QuantityInStock]]&gt;Table24[[#This Row],[ReorderPoint]],"Adequate Stock",Table24[[#This Row],[QuantityInStock]]=0,"Out Of Stock")</f>
        <v>Adequate Stock</v>
      </c>
      <c r="G217" s="2" t="s">
        <v>518</v>
      </c>
      <c r="H217" s="2" t="s">
        <v>522</v>
      </c>
      <c r="I217" s="2">
        <v>5</v>
      </c>
      <c r="J217" s="2" t="s">
        <v>527</v>
      </c>
      <c r="K217" s="2">
        <v>104.28</v>
      </c>
      <c r="L217" s="2">
        <f>Table24[[#This Row],[QuantityInStock]]*Table24[[#This Row],[UnitCost]]</f>
        <v>15224.880000000001</v>
      </c>
    </row>
    <row r="218" spans="1:12" x14ac:dyDescent="0.3">
      <c r="A218" s="2" t="s">
        <v>225</v>
      </c>
      <c r="B218" s="2" t="s">
        <v>511</v>
      </c>
      <c r="C218" s="2" t="str">
        <f>_xlfn.XLOOKUP(Table24[[#This Row],[ProductName]],Table4[Product name],Table4[Category],"Not Found",0)</f>
        <v>Electronics</v>
      </c>
      <c r="D218" s="2">
        <v>363</v>
      </c>
      <c r="E218" s="2">
        <v>78</v>
      </c>
      <c r="F218" s="2" t="str" cm="1">
        <f t="array" ref="F218">_xlfn.IFS(Table24[[#This Row],[QuantityInStock]]&lt;=Table24[[#This Row],[ReorderPoint]],"Low Stock",Table24[[#This Row],[QuantityInStock]]&gt;Table24[[#This Row],[ReorderPoint]],"Adequate Stock",Table24[[#This Row],[QuantityInStock]]=0,"Out Of Stock")</f>
        <v>Adequate Stock</v>
      </c>
      <c r="G218" s="2" t="s">
        <v>516</v>
      </c>
      <c r="H218" s="2" t="s">
        <v>520</v>
      </c>
      <c r="I218" s="2">
        <v>9</v>
      </c>
      <c r="J218" s="2" t="s">
        <v>527</v>
      </c>
      <c r="K218" s="2">
        <v>18.68</v>
      </c>
      <c r="L218" s="2">
        <f>Table24[[#This Row],[QuantityInStock]]*Table24[[#This Row],[UnitCost]]</f>
        <v>6780.84</v>
      </c>
    </row>
    <row r="219" spans="1:12" x14ac:dyDescent="0.3">
      <c r="A219" s="2" t="s">
        <v>226</v>
      </c>
      <c r="B219" s="2" t="s">
        <v>513</v>
      </c>
      <c r="C219" s="2" t="str">
        <f>_xlfn.XLOOKUP(Table24[[#This Row],[ProductName]],Table4[Product name],Table4[Category],"Not Found",0)</f>
        <v>Electronics</v>
      </c>
      <c r="D219" s="2">
        <v>350</v>
      </c>
      <c r="E219" s="2">
        <v>49</v>
      </c>
      <c r="F219" s="2" t="str" cm="1">
        <f t="array" ref="F219">_xlfn.IFS(Table24[[#This Row],[QuantityInStock]]&lt;=Table24[[#This Row],[ReorderPoint]],"Low Stock",Table24[[#This Row],[QuantityInStock]]&gt;Table24[[#This Row],[ReorderPoint]],"Adequate Stock",Table24[[#This Row],[QuantityInStock]]=0,"Out Of Stock")</f>
        <v>Adequate Stock</v>
      </c>
      <c r="G219" s="2" t="s">
        <v>516</v>
      </c>
      <c r="H219" s="2" t="s">
        <v>520</v>
      </c>
      <c r="I219" s="2">
        <v>20</v>
      </c>
      <c r="J219" s="2" t="s">
        <v>527</v>
      </c>
      <c r="K219" s="2">
        <v>136.4</v>
      </c>
      <c r="L219" s="2">
        <f>Table24[[#This Row],[QuantityInStock]]*Table24[[#This Row],[UnitCost]]</f>
        <v>47740</v>
      </c>
    </row>
    <row r="220" spans="1:12" x14ac:dyDescent="0.3">
      <c r="A220" s="2" t="s">
        <v>227</v>
      </c>
      <c r="B220" s="2" t="s">
        <v>509</v>
      </c>
      <c r="C220" s="2" t="str">
        <f>_xlfn.XLOOKUP(Table24[[#This Row],[ProductName]],Table4[Product name],Table4[Category],"Not Found",0)</f>
        <v>Electronics</v>
      </c>
      <c r="D220" s="2">
        <v>435</v>
      </c>
      <c r="E220" s="2">
        <v>54</v>
      </c>
      <c r="F220" s="2" t="str" cm="1">
        <f t="array" ref="F220">_xlfn.IFS(Table24[[#This Row],[QuantityInStock]]&lt;=Table24[[#This Row],[ReorderPoint]],"Low Stock",Table24[[#This Row],[QuantityInStock]]&gt;Table24[[#This Row],[ReorderPoint]],"Adequate Stock",Table24[[#This Row],[QuantityInStock]]=0,"Out Of Stock")</f>
        <v>Adequate Stock</v>
      </c>
      <c r="G220" s="2" t="s">
        <v>517</v>
      </c>
      <c r="H220" s="2" t="s">
        <v>521</v>
      </c>
      <c r="I220" s="2">
        <v>8</v>
      </c>
      <c r="J220" s="2" t="s">
        <v>527</v>
      </c>
      <c r="K220" s="2">
        <v>8.35</v>
      </c>
      <c r="L220" s="2">
        <f>Table24[[#This Row],[QuantityInStock]]*Table24[[#This Row],[UnitCost]]</f>
        <v>3632.25</v>
      </c>
    </row>
    <row r="221" spans="1:12" x14ac:dyDescent="0.3">
      <c r="A221" s="2" t="s">
        <v>228</v>
      </c>
      <c r="B221" s="2" t="s">
        <v>514</v>
      </c>
      <c r="C221" s="2" t="str">
        <f>_xlfn.XLOOKUP(Table24[[#This Row],[ProductName]],Table4[Product name],Table4[Category],"Not Found",0)</f>
        <v>Furniture</v>
      </c>
      <c r="D221" s="2">
        <v>419</v>
      </c>
      <c r="E221" s="2">
        <v>79</v>
      </c>
      <c r="F221" s="2" t="str" cm="1">
        <f t="array" ref="F221">_xlfn.IFS(Table24[[#This Row],[QuantityInStock]]&lt;=Table24[[#This Row],[ReorderPoint]],"Low Stock",Table24[[#This Row],[QuantityInStock]]&gt;Table24[[#This Row],[ReorderPoint]],"Adequate Stock",Table24[[#This Row],[QuantityInStock]]=0,"Out Of Stock")</f>
        <v>Adequate Stock</v>
      </c>
      <c r="G221" s="2" t="s">
        <v>517</v>
      </c>
      <c r="H221" s="2" t="s">
        <v>521</v>
      </c>
      <c r="I221" s="2">
        <v>11</v>
      </c>
      <c r="J221" s="2" t="s">
        <v>525</v>
      </c>
      <c r="K221" s="2">
        <v>182.07</v>
      </c>
      <c r="L221" s="2">
        <f>Table24[[#This Row],[QuantityInStock]]*Table24[[#This Row],[UnitCost]]</f>
        <v>76287.33</v>
      </c>
    </row>
    <row r="222" spans="1:12" x14ac:dyDescent="0.3">
      <c r="A222" s="2" t="s">
        <v>229</v>
      </c>
      <c r="B222" s="2" t="s">
        <v>510</v>
      </c>
      <c r="C222" s="2" t="str">
        <f>_xlfn.XLOOKUP(Table24[[#This Row],[ProductName]],Table4[Product name],Table4[Category],"Not Found",0)</f>
        <v>Electronics</v>
      </c>
      <c r="D222" s="2">
        <v>402</v>
      </c>
      <c r="E222" s="2">
        <v>48</v>
      </c>
      <c r="F222" s="2" t="str" cm="1">
        <f t="array" ref="F222">_xlfn.IFS(Table24[[#This Row],[QuantityInStock]]&lt;=Table24[[#This Row],[ReorderPoint]],"Low Stock",Table24[[#This Row],[QuantityInStock]]&gt;Table24[[#This Row],[ReorderPoint]],"Adequate Stock",Table24[[#This Row],[QuantityInStock]]=0,"Out Of Stock")</f>
        <v>Adequate Stock</v>
      </c>
      <c r="G222" s="2" t="s">
        <v>516</v>
      </c>
      <c r="H222" s="2" t="s">
        <v>520</v>
      </c>
      <c r="I222" s="2">
        <v>10</v>
      </c>
      <c r="J222" s="2" t="s">
        <v>524</v>
      </c>
      <c r="K222" s="2">
        <v>74.099999999999994</v>
      </c>
      <c r="L222" s="2">
        <f>Table24[[#This Row],[QuantityInStock]]*Table24[[#This Row],[UnitCost]]</f>
        <v>29788.199999999997</v>
      </c>
    </row>
    <row r="223" spans="1:12" x14ac:dyDescent="0.3">
      <c r="A223" s="2" t="s">
        <v>230</v>
      </c>
      <c r="B223" s="2" t="s">
        <v>509</v>
      </c>
      <c r="C223" s="2" t="str">
        <f>_xlfn.XLOOKUP(Table24[[#This Row],[ProductName]],Table4[Product name],Table4[Category],"Not Found",0)</f>
        <v>Electronics</v>
      </c>
      <c r="D223" s="2">
        <v>452</v>
      </c>
      <c r="E223" s="2">
        <v>74</v>
      </c>
      <c r="F223" s="2" t="str" cm="1">
        <f t="array" ref="F223">_xlfn.IFS(Table24[[#This Row],[QuantityInStock]]&lt;=Table24[[#This Row],[ReorderPoint]],"Low Stock",Table24[[#This Row],[QuantityInStock]]&gt;Table24[[#This Row],[ReorderPoint]],"Adequate Stock",Table24[[#This Row],[QuantityInStock]]=0,"Out Of Stock")</f>
        <v>Adequate Stock</v>
      </c>
      <c r="G223" s="2" t="s">
        <v>516</v>
      </c>
      <c r="H223" s="2" t="s">
        <v>520</v>
      </c>
      <c r="I223" s="2">
        <v>8</v>
      </c>
      <c r="J223" s="2" t="s">
        <v>528</v>
      </c>
      <c r="K223" s="2">
        <v>83.89</v>
      </c>
      <c r="L223" s="2">
        <f>Table24[[#This Row],[QuantityInStock]]*Table24[[#This Row],[UnitCost]]</f>
        <v>37918.28</v>
      </c>
    </row>
    <row r="224" spans="1:12" x14ac:dyDescent="0.3">
      <c r="A224" s="2" t="s">
        <v>231</v>
      </c>
      <c r="B224" s="2" t="s">
        <v>512</v>
      </c>
      <c r="C224" s="2" t="str">
        <f>_xlfn.XLOOKUP(Table24[[#This Row],[ProductName]],Table4[Product name],Table4[Category],"Not Found",0)</f>
        <v>Furniture</v>
      </c>
      <c r="D224" s="2">
        <v>304</v>
      </c>
      <c r="E224" s="2">
        <v>54</v>
      </c>
      <c r="F224" s="2" t="str" cm="1">
        <f t="array" ref="F224">_xlfn.IFS(Table24[[#This Row],[QuantityInStock]]&lt;=Table24[[#This Row],[ReorderPoint]],"Low Stock",Table24[[#This Row],[QuantityInStock]]&gt;Table24[[#This Row],[ReorderPoint]],"Adequate Stock",Table24[[#This Row],[QuantityInStock]]=0,"Out Of Stock")</f>
        <v>Adequate Stock</v>
      </c>
      <c r="G224" s="2" t="s">
        <v>519</v>
      </c>
      <c r="H224" s="2" t="s">
        <v>523</v>
      </c>
      <c r="I224" s="2">
        <v>3</v>
      </c>
      <c r="J224" s="2" t="s">
        <v>527</v>
      </c>
      <c r="K224" s="2">
        <v>43.6</v>
      </c>
      <c r="L224" s="2">
        <f>Table24[[#This Row],[QuantityInStock]]*Table24[[#This Row],[UnitCost]]</f>
        <v>13254.4</v>
      </c>
    </row>
    <row r="225" spans="1:12" x14ac:dyDescent="0.3">
      <c r="A225" s="2" t="s">
        <v>232</v>
      </c>
      <c r="B225" s="2" t="s">
        <v>509</v>
      </c>
      <c r="C225" s="2" t="str">
        <f>_xlfn.XLOOKUP(Table24[[#This Row],[ProductName]],Table4[Product name],Table4[Category],"Not Found",0)</f>
        <v>Electronics</v>
      </c>
      <c r="D225" s="2">
        <v>317</v>
      </c>
      <c r="E225" s="2">
        <v>60</v>
      </c>
      <c r="F225" s="2" t="str" cm="1">
        <f t="array" ref="F225">_xlfn.IFS(Table24[[#This Row],[QuantityInStock]]&lt;=Table24[[#This Row],[ReorderPoint]],"Low Stock",Table24[[#This Row],[QuantityInStock]]&gt;Table24[[#This Row],[ReorderPoint]],"Adequate Stock",Table24[[#This Row],[QuantityInStock]]=0,"Out Of Stock")</f>
        <v>Adequate Stock</v>
      </c>
      <c r="G225" s="2" t="s">
        <v>517</v>
      </c>
      <c r="H225" s="2" t="s">
        <v>521</v>
      </c>
      <c r="I225" s="2">
        <v>10</v>
      </c>
      <c r="J225" s="2" t="s">
        <v>524</v>
      </c>
      <c r="K225" s="2">
        <v>172.23</v>
      </c>
      <c r="L225" s="2">
        <f>Table24[[#This Row],[QuantityInStock]]*Table24[[#This Row],[UnitCost]]</f>
        <v>54596.909999999996</v>
      </c>
    </row>
    <row r="226" spans="1:12" x14ac:dyDescent="0.3">
      <c r="A226" s="2" t="s">
        <v>233</v>
      </c>
      <c r="B226" s="2" t="s">
        <v>513</v>
      </c>
      <c r="C226" s="2" t="str">
        <f>_xlfn.XLOOKUP(Table24[[#This Row],[ProductName]],Table4[Product name],Table4[Category],"Not Found",0)</f>
        <v>Electronics</v>
      </c>
      <c r="D226" s="2">
        <v>408</v>
      </c>
      <c r="E226" s="2">
        <v>80</v>
      </c>
      <c r="F226" s="2" t="str" cm="1">
        <f t="array" ref="F226">_xlfn.IFS(Table24[[#This Row],[QuantityInStock]]&lt;=Table24[[#This Row],[ReorderPoint]],"Low Stock",Table24[[#This Row],[QuantityInStock]]&gt;Table24[[#This Row],[ReorderPoint]],"Adequate Stock",Table24[[#This Row],[QuantityInStock]]=0,"Out Of Stock")</f>
        <v>Adequate Stock</v>
      </c>
      <c r="G226" s="2" t="s">
        <v>518</v>
      </c>
      <c r="H226" s="2" t="s">
        <v>522</v>
      </c>
      <c r="I226" s="2">
        <v>20</v>
      </c>
      <c r="J226" s="2" t="s">
        <v>524</v>
      </c>
      <c r="K226" s="2">
        <v>140.30000000000001</v>
      </c>
      <c r="L226" s="2">
        <f>Table24[[#This Row],[QuantityInStock]]*Table24[[#This Row],[UnitCost]]</f>
        <v>57242.400000000001</v>
      </c>
    </row>
    <row r="227" spans="1:12" x14ac:dyDescent="0.3">
      <c r="A227" s="2" t="s">
        <v>234</v>
      </c>
      <c r="B227" s="2" t="s">
        <v>510</v>
      </c>
      <c r="C227" s="2" t="str">
        <f>_xlfn.XLOOKUP(Table24[[#This Row],[ProductName]],Table4[Product name],Table4[Category],"Not Found",0)</f>
        <v>Electronics</v>
      </c>
      <c r="D227" s="2">
        <v>204</v>
      </c>
      <c r="E227" s="2">
        <v>47</v>
      </c>
      <c r="F227" s="2" t="str" cm="1">
        <f t="array" ref="F227">_xlfn.IFS(Table24[[#This Row],[QuantityInStock]]&lt;=Table24[[#This Row],[ReorderPoint]],"Low Stock",Table24[[#This Row],[QuantityInStock]]&gt;Table24[[#This Row],[ReorderPoint]],"Adequate Stock",Table24[[#This Row],[QuantityInStock]]=0,"Out Of Stock")</f>
        <v>Adequate Stock</v>
      </c>
      <c r="G227" s="2" t="s">
        <v>519</v>
      </c>
      <c r="H227" s="2" t="s">
        <v>523</v>
      </c>
      <c r="I227" s="2">
        <v>20</v>
      </c>
      <c r="J227" s="2" t="s">
        <v>524</v>
      </c>
      <c r="K227" s="2">
        <v>170.32</v>
      </c>
      <c r="L227" s="2">
        <f>Table24[[#This Row],[QuantityInStock]]*Table24[[#This Row],[UnitCost]]</f>
        <v>34745.279999999999</v>
      </c>
    </row>
    <row r="228" spans="1:12" x14ac:dyDescent="0.3">
      <c r="A228" s="2" t="s">
        <v>235</v>
      </c>
      <c r="B228" s="2" t="s">
        <v>509</v>
      </c>
      <c r="C228" s="2" t="str">
        <f>_xlfn.XLOOKUP(Table24[[#This Row],[ProductName]],Table4[Product name],Table4[Category],"Not Found",0)</f>
        <v>Electronics</v>
      </c>
      <c r="D228" s="2">
        <v>459</v>
      </c>
      <c r="E228" s="2">
        <v>51</v>
      </c>
      <c r="F228" s="2" t="str" cm="1">
        <f t="array" ref="F228">_xlfn.IFS(Table24[[#This Row],[QuantityInStock]]&lt;=Table24[[#This Row],[ReorderPoint]],"Low Stock",Table24[[#This Row],[QuantityInStock]]&gt;Table24[[#This Row],[ReorderPoint]],"Adequate Stock",Table24[[#This Row],[QuantityInStock]]=0,"Out Of Stock")</f>
        <v>Adequate Stock</v>
      </c>
      <c r="G228" s="2" t="s">
        <v>517</v>
      </c>
      <c r="H228" s="2" t="s">
        <v>521</v>
      </c>
      <c r="I228" s="2">
        <v>13</v>
      </c>
      <c r="J228" s="2" t="s">
        <v>527</v>
      </c>
      <c r="K228" s="2">
        <v>185.81</v>
      </c>
      <c r="L228" s="2">
        <f>Table24[[#This Row],[QuantityInStock]]*Table24[[#This Row],[UnitCost]]</f>
        <v>85286.790000000008</v>
      </c>
    </row>
    <row r="229" spans="1:12" x14ac:dyDescent="0.3">
      <c r="A229" s="2" t="s">
        <v>236</v>
      </c>
      <c r="B229" s="2" t="s">
        <v>515</v>
      </c>
      <c r="C229" s="2" t="str">
        <f>_xlfn.XLOOKUP(Table24[[#This Row],[ProductName]],Table4[Product name],Table4[Category],"Not Found",0)</f>
        <v>Electronics</v>
      </c>
      <c r="D229" s="2">
        <v>382</v>
      </c>
      <c r="E229" s="2">
        <v>67</v>
      </c>
      <c r="F229" s="2" t="str" cm="1">
        <f t="array" ref="F229">_xlfn.IFS(Table24[[#This Row],[QuantityInStock]]&lt;=Table24[[#This Row],[ReorderPoint]],"Low Stock",Table24[[#This Row],[QuantityInStock]]&gt;Table24[[#This Row],[ReorderPoint]],"Adequate Stock",Table24[[#This Row],[QuantityInStock]]=0,"Out Of Stock")</f>
        <v>Adequate Stock</v>
      </c>
      <c r="G229" s="2" t="s">
        <v>519</v>
      </c>
      <c r="H229" s="2" t="s">
        <v>523</v>
      </c>
      <c r="I229" s="2">
        <v>7</v>
      </c>
      <c r="J229" s="2" t="s">
        <v>528</v>
      </c>
      <c r="K229" s="2">
        <v>48.29</v>
      </c>
      <c r="L229" s="2">
        <f>Table24[[#This Row],[QuantityInStock]]*Table24[[#This Row],[UnitCost]]</f>
        <v>18446.78</v>
      </c>
    </row>
    <row r="230" spans="1:12" x14ac:dyDescent="0.3">
      <c r="A230" s="2" t="s">
        <v>237</v>
      </c>
      <c r="B230" s="2" t="s">
        <v>512</v>
      </c>
      <c r="C230" s="2" t="str">
        <f>_xlfn.XLOOKUP(Table24[[#This Row],[ProductName]],Table4[Product name],Table4[Category],"Not Found",0)</f>
        <v>Furniture</v>
      </c>
      <c r="D230" s="2">
        <v>377</v>
      </c>
      <c r="E230" s="2">
        <v>39</v>
      </c>
      <c r="F230" s="2" t="str" cm="1">
        <f t="array" ref="F230">_xlfn.IFS(Table24[[#This Row],[QuantityInStock]]&lt;=Table24[[#This Row],[ReorderPoint]],"Low Stock",Table24[[#This Row],[QuantityInStock]]&gt;Table24[[#This Row],[ReorderPoint]],"Adequate Stock",Table24[[#This Row],[QuantityInStock]]=0,"Out Of Stock")</f>
        <v>Adequate Stock</v>
      </c>
      <c r="G230" s="2" t="s">
        <v>517</v>
      </c>
      <c r="H230" s="2" t="s">
        <v>521</v>
      </c>
      <c r="I230" s="2">
        <v>20</v>
      </c>
      <c r="J230" s="2" t="s">
        <v>524</v>
      </c>
      <c r="K230" s="2">
        <v>24.68</v>
      </c>
      <c r="L230" s="2">
        <f>Table24[[#This Row],[QuantityInStock]]*Table24[[#This Row],[UnitCost]]</f>
        <v>9304.36</v>
      </c>
    </row>
    <row r="231" spans="1:12" x14ac:dyDescent="0.3">
      <c r="A231" s="2" t="s">
        <v>238</v>
      </c>
      <c r="B231" s="2" t="s">
        <v>513</v>
      </c>
      <c r="C231" s="2" t="str">
        <f>_xlfn.XLOOKUP(Table24[[#This Row],[ProductName]],Table4[Product name],Table4[Category],"Not Found",0)</f>
        <v>Electronics</v>
      </c>
      <c r="D231" s="2">
        <v>184</v>
      </c>
      <c r="E231" s="2">
        <v>25</v>
      </c>
      <c r="F231" s="2" t="str" cm="1">
        <f t="array" ref="F231">_xlfn.IFS(Table24[[#This Row],[QuantityInStock]]&lt;=Table24[[#This Row],[ReorderPoint]],"Low Stock",Table24[[#This Row],[QuantityInStock]]&gt;Table24[[#This Row],[ReorderPoint]],"Adequate Stock",Table24[[#This Row],[QuantityInStock]]=0,"Out Of Stock")</f>
        <v>Adequate Stock</v>
      </c>
      <c r="G231" s="2" t="s">
        <v>516</v>
      </c>
      <c r="H231" s="2" t="s">
        <v>520</v>
      </c>
      <c r="I231" s="2">
        <v>21</v>
      </c>
      <c r="J231" s="2" t="s">
        <v>528</v>
      </c>
      <c r="K231" s="2">
        <v>34.01</v>
      </c>
      <c r="L231" s="2">
        <f>Table24[[#This Row],[QuantityInStock]]*Table24[[#This Row],[UnitCost]]</f>
        <v>6257.8399999999992</v>
      </c>
    </row>
    <row r="232" spans="1:12" x14ac:dyDescent="0.3">
      <c r="A232" s="2" t="s">
        <v>239</v>
      </c>
      <c r="B232" s="2" t="s">
        <v>513</v>
      </c>
      <c r="C232" s="2" t="str">
        <f>_xlfn.XLOOKUP(Table24[[#This Row],[ProductName]],Table4[Product name],Table4[Category],"Not Found",0)</f>
        <v>Electronics</v>
      </c>
      <c r="D232" s="2">
        <v>453</v>
      </c>
      <c r="E232" s="2">
        <v>92</v>
      </c>
      <c r="F232" s="2" t="str" cm="1">
        <f t="array" ref="F232">_xlfn.IFS(Table24[[#This Row],[QuantityInStock]]&lt;=Table24[[#This Row],[ReorderPoint]],"Low Stock",Table24[[#This Row],[QuantityInStock]]&gt;Table24[[#This Row],[ReorderPoint]],"Adequate Stock",Table24[[#This Row],[QuantityInStock]]=0,"Out Of Stock")</f>
        <v>Adequate Stock</v>
      </c>
      <c r="G232" s="2" t="s">
        <v>518</v>
      </c>
      <c r="H232" s="2" t="s">
        <v>522</v>
      </c>
      <c r="I232" s="2">
        <v>4</v>
      </c>
      <c r="J232" s="2" t="s">
        <v>525</v>
      </c>
      <c r="K232" s="2">
        <v>4.3099999999999996</v>
      </c>
      <c r="L232" s="2">
        <f>Table24[[#This Row],[QuantityInStock]]*Table24[[#This Row],[UnitCost]]</f>
        <v>1952.4299999999998</v>
      </c>
    </row>
    <row r="233" spans="1:12" x14ac:dyDescent="0.3">
      <c r="A233" s="2" t="s">
        <v>240</v>
      </c>
      <c r="B233" s="2" t="s">
        <v>509</v>
      </c>
      <c r="C233" s="2" t="str">
        <f>_xlfn.XLOOKUP(Table24[[#This Row],[ProductName]],Table4[Product name],Table4[Category],"Not Found",0)</f>
        <v>Electronics</v>
      </c>
      <c r="D233" s="2">
        <v>193</v>
      </c>
      <c r="E233" s="2">
        <v>43</v>
      </c>
      <c r="F233" s="2" t="str" cm="1">
        <f t="array" ref="F233">_xlfn.IFS(Table24[[#This Row],[QuantityInStock]]&lt;=Table24[[#This Row],[ReorderPoint]],"Low Stock",Table24[[#This Row],[QuantityInStock]]&gt;Table24[[#This Row],[ReorderPoint]],"Adequate Stock",Table24[[#This Row],[QuantityInStock]]=0,"Out Of Stock")</f>
        <v>Adequate Stock</v>
      </c>
      <c r="G233" s="2" t="s">
        <v>518</v>
      </c>
      <c r="H233" s="2" t="s">
        <v>522</v>
      </c>
      <c r="I233" s="2">
        <v>8</v>
      </c>
      <c r="J233" s="2" t="s">
        <v>526</v>
      </c>
      <c r="K233" s="2">
        <v>21.87</v>
      </c>
      <c r="L233" s="2">
        <f>Table24[[#This Row],[QuantityInStock]]*Table24[[#This Row],[UnitCost]]</f>
        <v>4220.91</v>
      </c>
    </row>
    <row r="234" spans="1:12" x14ac:dyDescent="0.3">
      <c r="A234" s="2" t="s">
        <v>241</v>
      </c>
      <c r="B234" s="2" t="s">
        <v>511</v>
      </c>
      <c r="C234" s="2" t="str">
        <f>_xlfn.XLOOKUP(Table24[[#This Row],[ProductName]],Table4[Product name],Table4[Category],"Not Found",0)</f>
        <v>Electronics</v>
      </c>
      <c r="D234" s="2">
        <v>480</v>
      </c>
      <c r="E234" s="2">
        <v>24</v>
      </c>
      <c r="F234" s="2" t="str" cm="1">
        <f t="array" ref="F234">_xlfn.IFS(Table24[[#This Row],[QuantityInStock]]&lt;=Table24[[#This Row],[ReorderPoint]],"Low Stock",Table24[[#This Row],[QuantityInStock]]&gt;Table24[[#This Row],[ReorderPoint]],"Adequate Stock",Table24[[#This Row],[QuantityInStock]]=0,"Out Of Stock")</f>
        <v>Adequate Stock</v>
      </c>
      <c r="G234" s="2" t="s">
        <v>516</v>
      </c>
      <c r="H234" s="2" t="s">
        <v>520</v>
      </c>
      <c r="I234" s="2">
        <v>11</v>
      </c>
      <c r="J234" s="2" t="s">
        <v>524</v>
      </c>
      <c r="K234" s="2">
        <v>16.87</v>
      </c>
      <c r="L234" s="2">
        <f>Table24[[#This Row],[QuantityInStock]]*Table24[[#This Row],[UnitCost]]</f>
        <v>8097.6</v>
      </c>
    </row>
    <row r="235" spans="1:12" x14ac:dyDescent="0.3">
      <c r="A235" s="2" t="s">
        <v>242</v>
      </c>
      <c r="B235" s="2" t="s">
        <v>512</v>
      </c>
      <c r="C235" s="2" t="str">
        <f>_xlfn.XLOOKUP(Table24[[#This Row],[ProductName]],Table4[Product name],Table4[Category],"Not Found",0)</f>
        <v>Furniture</v>
      </c>
      <c r="D235" s="2">
        <v>131</v>
      </c>
      <c r="E235" s="2">
        <v>63</v>
      </c>
      <c r="F235" s="2" t="str" cm="1">
        <f t="array" ref="F235">_xlfn.IFS(Table24[[#This Row],[QuantityInStock]]&lt;=Table24[[#This Row],[ReorderPoint]],"Low Stock",Table24[[#This Row],[QuantityInStock]]&gt;Table24[[#This Row],[ReorderPoint]],"Adequate Stock",Table24[[#This Row],[QuantityInStock]]=0,"Out Of Stock")</f>
        <v>Adequate Stock</v>
      </c>
      <c r="G235" s="2" t="s">
        <v>519</v>
      </c>
      <c r="H235" s="2" t="s">
        <v>523</v>
      </c>
      <c r="I235" s="2">
        <v>8</v>
      </c>
      <c r="J235" s="2" t="s">
        <v>525</v>
      </c>
      <c r="K235" s="2">
        <v>122.25</v>
      </c>
      <c r="L235" s="2">
        <f>Table24[[#This Row],[QuantityInStock]]*Table24[[#This Row],[UnitCost]]</f>
        <v>16014.75</v>
      </c>
    </row>
    <row r="236" spans="1:12" x14ac:dyDescent="0.3">
      <c r="A236" s="2" t="s">
        <v>243</v>
      </c>
      <c r="B236" s="2" t="s">
        <v>511</v>
      </c>
      <c r="C236" s="2" t="str">
        <f>_xlfn.XLOOKUP(Table24[[#This Row],[ProductName]],Table4[Product name],Table4[Category],"Not Found",0)</f>
        <v>Electronics</v>
      </c>
      <c r="D236" s="2">
        <v>375</v>
      </c>
      <c r="E236" s="2">
        <v>28</v>
      </c>
      <c r="F236" s="2" t="str" cm="1">
        <f t="array" ref="F236">_xlfn.IFS(Table24[[#This Row],[QuantityInStock]]&lt;=Table24[[#This Row],[ReorderPoint]],"Low Stock",Table24[[#This Row],[QuantityInStock]]&gt;Table24[[#This Row],[ReorderPoint]],"Adequate Stock",Table24[[#This Row],[QuantityInStock]]=0,"Out Of Stock")</f>
        <v>Adequate Stock</v>
      </c>
      <c r="G236" s="2" t="s">
        <v>516</v>
      </c>
      <c r="H236" s="2" t="s">
        <v>520</v>
      </c>
      <c r="I236" s="2">
        <v>5</v>
      </c>
      <c r="J236" s="2" t="s">
        <v>525</v>
      </c>
      <c r="K236" s="2">
        <v>41.15</v>
      </c>
      <c r="L236" s="2">
        <f>Table24[[#This Row],[QuantityInStock]]*Table24[[#This Row],[UnitCost]]</f>
        <v>15431.25</v>
      </c>
    </row>
    <row r="237" spans="1:12" x14ac:dyDescent="0.3">
      <c r="A237" s="2" t="s">
        <v>244</v>
      </c>
      <c r="B237" s="2" t="s">
        <v>509</v>
      </c>
      <c r="C237" s="2" t="str">
        <f>_xlfn.XLOOKUP(Table24[[#This Row],[ProductName]],Table4[Product name],Table4[Category],"Not Found",0)</f>
        <v>Electronics</v>
      </c>
      <c r="D237" s="2">
        <v>82</v>
      </c>
      <c r="E237" s="2">
        <v>81</v>
      </c>
      <c r="F237" s="2" t="str" cm="1">
        <f t="array" ref="F237">_xlfn.IFS(Table24[[#This Row],[QuantityInStock]]&lt;=Table24[[#This Row],[ReorderPoint]],"Low Stock",Table24[[#This Row],[QuantityInStock]]&gt;Table24[[#This Row],[ReorderPoint]],"Adequate Stock",Table24[[#This Row],[QuantityInStock]]=0,"Out Of Stock")</f>
        <v>Adequate Stock</v>
      </c>
      <c r="G237" s="2" t="s">
        <v>517</v>
      </c>
      <c r="H237" s="2" t="s">
        <v>521</v>
      </c>
      <c r="I237" s="2">
        <v>11</v>
      </c>
      <c r="J237" s="2" t="s">
        <v>525</v>
      </c>
      <c r="K237" s="2">
        <v>166.22</v>
      </c>
      <c r="L237" s="2">
        <f>Table24[[#This Row],[QuantityInStock]]*Table24[[#This Row],[UnitCost]]</f>
        <v>13630.039999999999</v>
      </c>
    </row>
    <row r="238" spans="1:12" x14ac:dyDescent="0.3">
      <c r="A238" s="2" t="s">
        <v>245</v>
      </c>
      <c r="B238" s="2" t="s">
        <v>511</v>
      </c>
      <c r="C238" s="2" t="str">
        <f>_xlfn.XLOOKUP(Table24[[#This Row],[ProductName]],Table4[Product name],Table4[Category],"Not Found",0)</f>
        <v>Electronics</v>
      </c>
      <c r="D238" s="2">
        <v>390</v>
      </c>
      <c r="E238" s="2">
        <v>79</v>
      </c>
      <c r="F238" s="2" t="str" cm="1">
        <f t="array" ref="F238">_xlfn.IFS(Table24[[#This Row],[QuantityInStock]]&lt;=Table24[[#This Row],[ReorderPoint]],"Low Stock",Table24[[#This Row],[QuantityInStock]]&gt;Table24[[#This Row],[ReorderPoint]],"Adequate Stock",Table24[[#This Row],[QuantityInStock]]=0,"Out Of Stock")</f>
        <v>Adequate Stock</v>
      </c>
      <c r="G238" s="2" t="s">
        <v>519</v>
      </c>
      <c r="H238" s="2" t="s">
        <v>523</v>
      </c>
      <c r="I238" s="2">
        <v>11</v>
      </c>
      <c r="J238" s="2" t="s">
        <v>526</v>
      </c>
      <c r="K238" s="2">
        <v>82.89</v>
      </c>
      <c r="L238" s="2">
        <f>Table24[[#This Row],[QuantityInStock]]*Table24[[#This Row],[UnitCost]]</f>
        <v>32327.1</v>
      </c>
    </row>
    <row r="239" spans="1:12" x14ac:dyDescent="0.3">
      <c r="A239" s="2" t="s">
        <v>246</v>
      </c>
      <c r="B239" s="2" t="s">
        <v>511</v>
      </c>
      <c r="C239" s="2" t="str">
        <f>_xlfn.XLOOKUP(Table24[[#This Row],[ProductName]],Table4[Product name],Table4[Category],"Not Found",0)</f>
        <v>Electronics</v>
      </c>
      <c r="D239" s="2">
        <v>39</v>
      </c>
      <c r="E239" s="2">
        <v>54</v>
      </c>
      <c r="F239" s="2" t="str" cm="1">
        <f t="array" ref="F239">_xlfn.IFS(Table24[[#This Row],[QuantityInStock]]&lt;=Table24[[#This Row],[ReorderPoint]],"Low Stock",Table24[[#This Row],[QuantityInStock]]&gt;Table24[[#This Row],[ReorderPoint]],"Adequate Stock",Table24[[#This Row],[QuantityInStock]]=0,"Out Of Stock")</f>
        <v>Low Stock</v>
      </c>
      <c r="G239" s="2" t="s">
        <v>519</v>
      </c>
      <c r="H239" s="2" t="s">
        <v>523</v>
      </c>
      <c r="I239" s="2">
        <v>7</v>
      </c>
      <c r="J239" s="2" t="s">
        <v>527</v>
      </c>
      <c r="K239" s="2">
        <v>116.23</v>
      </c>
      <c r="L239" s="2">
        <f>Table24[[#This Row],[QuantityInStock]]*Table24[[#This Row],[UnitCost]]</f>
        <v>4532.97</v>
      </c>
    </row>
    <row r="240" spans="1:12" x14ac:dyDescent="0.3">
      <c r="A240" s="2" t="s">
        <v>247</v>
      </c>
      <c r="B240" s="2" t="s">
        <v>515</v>
      </c>
      <c r="C240" s="2" t="str">
        <f>_xlfn.XLOOKUP(Table24[[#This Row],[ProductName]],Table4[Product name],Table4[Category],"Not Found",0)</f>
        <v>Electronics</v>
      </c>
      <c r="D240" s="2">
        <v>36</v>
      </c>
      <c r="E240" s="2">
        <v>75</v>
      </c>
      <c r="F240" s="2" t="str" cm="1">
        <f t="array" ref="F240">_xlfn.IFS(Table24[[#This Row],[QuantityInStock]]&lt;=Table24[[#This Row],[ReorderPoint]],"Low Stock",Table24[[#This Row],[QuantityInStock]]&gt;Table24[[#This Row],[ReorderPoint]],"Adequate Stock",Table24[[#This Row],[QuantityInStock]]=0,"Out Of Stock")</f>
        <v>Low Stock</v>
      </c>
      <c r="G240" s="2" t="s">
        <v>517</v>
      </c>
      <c r="H240" s="2" t="s">
        <v>521</v>
      </c>
      <c r="I240" s="2">
        <v>16</v>
      </c>
      <c r="J240" s="2" t="s">
        <v>525</v>
      </c>
      <c r="K240" s="2">
        <v>190.9</v>
      </c>
      <c r="L240" s="2">
        <f>Table24[[#This Row],[QuantityInStock]]*Table24[[#This Row],[UnitCost]]</f>
        <v>6872.4000000000005</v>
      </c>
    </row>
    <row r="241" spans="1:12" x14ac:dyDescent="0.3">
      <c r="A241" s="2" t="s">
        <v>248</v>
      </c>
      <c r="B241" s="2" t="s">
        <v>514</v>
      </c>
      <c r="C241" s="2" t="str">
        <f>_xlfn.XLOOKUP(Table24[[#This Row],[ProductName]],Table4[Product name],Table4[Category],"Not Found",0)</f>
        <v>Furniture</v>
      </c>
      <c r="D241" s="2">
        <v>462</v>
      </c>
      <c r="E241" s="2">
        <v>31</v>
      </c>
      <c r="F241" s="2" t="str" cm="1">
        <f t="array" ref="F241">_xlfn.IFS(Table24[[#This Row],[QuantityInStock]]&lt;=Table24[[#This Row],[ReorderPoint]],"Low Stock",Table24[[#This Row],[QuantityInStock]]&gt;Table24[[#This Row],[ReorderPoint]],"Adequate Stock",Table24[[#This Row],[QuantityInStock]]=0,"Out Of Stock")</f>
        <v>Adequate Stock</v>
      </c>
      <c r="G241" s="2" t="s">
        <v>516</v>
      </c>
      <c r="H241" s="2" t="s">
        <v>520</v>
      </c>
      <c r="I241" s="2">
        <v>9</v>
      </c>
      <c r="J241" s="2" t="s">
        <v>524</v>
      </c>
      <c r="K241" s="2">
        <v>4.55</v>
      </c>
      <c r="L241" s="2">
        <f>Table24[[#This Row],[QuantityInStock]]*Table24[[#This Row],[UnitCost]]</f>
        <v>2102.1</v>
      </c>
    </row>
    <row r="242" spans="1:12" x14ac:dyDescent="0.3">
      <c r="A242" s="2" t="s">
        <v>249</v>
      </c>
      <c r="B242" s="2" t="s">
        <v>510</v>
      </c>
      <c r="C242" s="2" t="str">
        <f>_xlfn.XLOOKUP(Table24[[#This Row],[ProductName]],Table4[Product name],Table4[Category],"Not Found",0)</f>
        <v>Electronics</v>
      </c>
      <c r="D242" s="2">
        <v>184</v>
      </c>
      <c r="E242" s="2">
        <v>70</v>
      </c>
      <c r="F242" s="2" t="str" cm="1">
        <f t="array" ref="F242">_xlfn.IFS(Table24[[#This Row],[QuantityInStock]]&lt;=Table24[[#This Row],[ReorderPoint]],"Low Stock",Table24[[#This Row],[QuantityInStock]]&gt;Table24[[#This Row],[ReorderPoint]],"Adequate Stock",Table24[[#This Row],[QuantityInStock]]=0,"Out Of Stock")</f>
        <v>Adequate Stock</v>
      </c>
      <c r="G242" s="2" t="s">
        <v>517</v>
      </c>
      <c r="H242" s="2" t="s">
        <v>521</v>
      </c>
      <c r="I242" s="2">
        <v>15</v>
      </c>
      <c r="J242" s="2" t="s">
        <v>525</v>
      </c>
      <c r="K242" s="2">
        <v>81.91</v>
      </c>
      <c r="L242" s="2">
        <f>Table24[[#This Row],[QuantityInStock]]*Table24[[#This Row],[UnitCost]]</f>
        <v>15071.439999999999</v>
      </c>
    </row>
    <row r="243" spans="1:12" x14ac:dyDescent="0.3">
      <c r="A243" s="2" t="s">
        <v>250</v>
      </c>
      <c r="B243" s="2" t="s">
        <v>512</v>
      </c>
      <c r="C243" s="2" t="str">
        <f>_xlfn.XLOOKUP(Table24[[#This Row],[ProductName]],Table4[Product name],Table4[Category],"Not Found",0)</f>
        <v>Furniture</v>
      </c>
      <c r="D243" s="2">
        <v>133</v>
      </c>
      <c r="E243" s="2">
        <v>82</v>
      </c>
      <c r="F243" s="2" t="str" cm="1">
        <f t="array" ref="F243">_xlfn.IFS(Table24[[#This Row],[QuantityInStock]]&lt;=Table24[[#This Row],[ReorderPoint]],"Low Stock",Table24[[#This Row],[QuantityInStock]]&gt;Table24[[#This Row],[ReorderPoint]],"Adequate Stock",Table24[[#This Row],[QuantityInStock]]=0,"Out Of Stock")</f>
        <v>Adequate Stock</v>
      </c>
      <c r="G243" s="2" t="s">
        <v>519</v>
      </c>
      <c r="H243" s="2" t="s">
        <v>523</v>
      </c>
      <c r="I243" s="2">
        <v>5</v>
      </c>
      <c r="J243" s="2" t="s">
        <v>528</v>
      </c>
      <c r="K243" s="2">
        <v>137.94999999999999</v>
      </c>
      <c r="L243" s="2">
        <f>Table24[[#This Row],[QuantityInStock]]*Table24[[#This Row],[UnitCost]]</f>
        <v>18347.349999999999</v>
      </c>
    </row>
    <row r="244" spans="1:12" x14ac:dyDescent="0.3">
      <c r="A244" s="2" t="s">
        <v>251</v>
      </c>
      <c r="B244" s="2" t="s">
        <v>512</v>
      </c>
      <c r="C244" s="2" t="str">
        <f>_xlfn.XLOOKUP(Table24[[#This Row],[ProductName]],Table4[Product name],Table4[Category],"Not Found",0)</f>
        <v>Furniture</v>
      </c>
      <c r="D244" s="2">
        <v>374</v>
      </c>
      <c r="E244" s="2">
        <v>43</v>
      </c>
      <c r="F244" s="2" t="str" cm="1">
        <f t="array" ref="F244">_xlfn.IFS(Table24[[#This Row],[QuantityInStock]]&lt;=Table24[[#This Row],[ReorderPoint]],"Low Stock",Table24[[#This Row],[QuantityInStock]]&gt;Table24[[#This Row],[ReorderPoint]],"Adequate Stock",Table24[[#This Row],[QuantityInStock]]=0,"Out Of Stock")</f>
        <v>Adequate Stock</v>
      </c>
      <c r="G244" s="2" t="s">
        <v>517</v>
      </c>
      <c r="H244" s="2" t="s">
        <v>521</v>
      </c>
      <c r="I244" s="2">
        <v>17</v>
      </c>
      <c r="J244" s="2" t="s">
        <v>524</v>
      </c>
      <c r="K244" s="2">
        <v>130.47</v>
      </c>
      <c r="L244" s="2">
        <f>Table24[[#This Row],[QuantityInStock]]*Table24[[#This Row],[UnitCost]]</f>
        <v>48795.78</v>
      </c>
    </row>
    <row r="245" spans="1:12" x14ac:dyDescent="0.3">
      <c r="A245" s="2" t="s">
        <v>252</v>
      </c>
      <c r="B245" s="2" t="s">
        <v>512</v>
      </c>
      <c r="C245" s="2" t="str">
        <f>_xlfn.XLOOKUP(Table24[[#This Row],[ProductName]],Table4[Product name],Table4[Category],"Not Found",0)</f>
        <v>Furniture</v>
      </c>
      <c r="D245" s="2">
        <v>467</v>
      </c>
      <c r="E245" s="2">
        <v>40</v>
      </c>
      <c r="F245" s="2" t="str" cm="1">
        <f t="array" ref="F245">_xlfn.IFS(Table24[[#This Row],[QuantityInStock]]&lt;=Table24[[#This Row],[ReorderPoint]],"Low Stock",Table24[[#This Row],[QuantityInStock]]&gt;Table24[[#This Row],[ReorderPoint]],"Adequate Stock",Table24[[#This Row],[QuantityInStock]]=0,"Out Of Stock")</f>
        <v>Adequate Stock</v>
      </c>
      <c r="G245" s="2" t="s">
        <v>518</v>
      </c>
      <c r="H245" s="2" t="s">
        <v>522</v>
      </c>
      <c r="I245" s="2">
        <v>9</v>
      </c>
      <c r="J245" s="2" t="s">
        <v>526</v>
      </c>
      <c r="K245" s="2">
        <v>192.48</v>
      </c>
      <c r="L245" s="2">
        <f>Table24[[#This Row],[QuantityInStock]]*Table24[[#This Row],[UnitCost]]</f>
        <v>89888.159999999989</v>
      </c>
    </row>
    <row r="246" spans="1:12" x14ac:dyDescent="0.3">
      <c r="A246" s="2" t="s">
        <v>253</v>
      </c>
      <c r="B246" s="2" t="s">
        <v>515</v>
      </c>
      <c r="C246" s="2" t="str">
        <f>_xlfn.XLOOKUP(Table24[[#This Row],[ProductName]],Table4[Product name],Table4[Category],"Not Found",0)</f>
        <v>Electronics</v>
      </c>
      <c r="D246" s="2">
        <v>74</v>
      </c>
      <c r="E246" s="2">
        <v>60</v>
      </c>
      <c r="F246" s="2" t="str" cm="1">
        <f t="array" ref="F246">_xlfn.IFS(Table24[[#This Row],[QuantityInStock]]&lt;=Table24[[#This Row],[ReorderPoint]],"Low Stock",Table24[[#This Row],[QuantityInStock]]&gt;Table24[[#This Row],[ReorderPoint]],"Adequate Stock",Table24[[#This Row],[QuantityInStock]]=0,"Out Of Stock")</f>
        <v>Adequate Stock</v>
      </c>
      <c r="G246" s="2" t="s">
        <v>518</v>
      </c>
      <c r="H246" s="2" t="s">
        <v>522</v>
      </c>
      <c r="I246" s="2">
        <v>4</v>
      </c>
      <c r="J246" s="2" t="s">
        <v>528</v>
      </c>
      <c r="K246" s="2">
        <v>170.91</v>
      </c>
      <c r="L246" s="2">
        <f>Table24[[#This Row],[QuantityInStock]]*Table24[[#This Row],[UnitCost]]</f>
        <v>12647.34</v>
      </c>
    </row>
    <row r="247" spans="1:12" x14ac:dyDescent="0.3">
      <c r="A247" s="2" t="s">
        <v>254</v>
      </c>
      <c r="B247" s="2" t="s">
        <v>512</v>
      </c>
      <c r="C247" s="2" t="str">
        <f>_xlfn.XLOOKUP(Table24[[#This Row],[ProductName]],Table4[Product name],Table4[Category],"Not Found",0)</f>
        <v>Furniture</v>
      </c>
      <c r="D247" s="2">
        <v>160</v>
      </c>
      <c r="E247" s="2">
        <v>36</v>
      </c>
      <c r="F247" s="2" t="str" cm="1">
        <f t="array" ref="F247">_xlfn.IFS(Table24[[#This Row],[QuantityInStock]]&lt;=Table24[[#This Row],[ReorderPoint]],"Low Stock",Table24[[#This Row],[QuantityInStock]]&gt;Table24[[#This Row],[ReorderPoint]],"Adequate Stock",Table24[[#This Row],[QuantityInStock]]=0,"Out Of Stock")</f>
        <v>Adequate Stock</v>
      </c>
      <c r="G247" s="2" t="s">
        <v>518</v>
      </c>
      <c r="H247" s="2" t="s">
        <v>522</v>
      </c>
      <c r="I247" s="2">
        <v>13</v>
      </c>
      <c r="J247" s="2" t="s">
        <v>525</v>
      </c>
      <c r="K247" s="2">
        <v>115.58</v>
      </c>
      <c r="L247" s="2">
        <f>Table24[[#This Row],[QuantityInStock]]*Table24[[#This Row],[UnitCost]]</f>
        <v>18492.8</v>
      </c>
    </row>
    <row r="248" spans="1:12" x14ac:dyDescent="0.3">
      <c r="A248" s="2" t="s">
        <v>255</v>
      </c>
      <c r="B248" s="2" t="s">
        <v>515</v>
      </c>
      <c r="C248" s="2" t="str">
        <f>_xlfn.XLOOKUP(Table24[[#This Row],[ProductName]],Table4[Product name],Table4[Category],"Not Found",0)</f>
        <v>Electronics</v>
      </c>
      <c r="D248" s="2">
        <v>230</v>
      </c>
      <c r="E248" s="2">
        <v>68</v>
      </c>
      <c r="F248" s="2" t="str" cm="1">
        <f t="array" ref="F248">_xlfn.IFS(Table24[[#This Row],[QuantityInStock]]&lt;=Table24[[#This Row],[ReorderPoint]],"Low Stock",Table24[[#This Row],[QuantityInStock]]&gt;Table24[[#This Row],[ReorderPoint]],"Adequate Stock",Table24[[#This Row],[QuantityInStock]]=0,"Out Of Stock")</f>
        <v>Adequate Stock</v>
      </c>
      <c r="G248" s="2" t="s">
        <v>519</v>
      </c>
      <c r="H248" s="2" t="s">
        <v>523</v>
      </c>
      <c r="I248" s="2">
        <v>7</v>
      </c>
      <c r="J248" s="2" t="s">
        <v>526</v>
      </c>
      <c r="K248" s="2">
        <v>37.04</v>
      </c>
      <c r="L248" s="2">
        <f>Table24[[#This Row],[QuantityInStock]]*Table24[[#This Row],[UnitCost]]</f>
        <v>8519.1999999999989</v>
      </c>
    </row>
    <row r="249" spans="1:12" x14ac:dyDescent="0.3">
      <c r="A249" s="2" t="s">
        <v>256</v>
      </c>
      <c r="B249" s="2" t="s">
        <v>512</v>
      </c>
      <c r="C249" s="2" t="str">
        <f>_xlfn.XLOOKUP(Table24[[#This Row],[ProductName]],Table4[Product name],Table4[Category],"Not Found",0)</f>
        <v>Furniture</v>
      </c>
      <c r="D249" s="2">
        <v>449</v>
      </c>
      <c r="E249" s="2">
        <v>47</v>
      </c>
      <c r="F249" s="2" t="str" cm="1">
        <f t="array" ref="F249">_xlfn.IFS(Table24[[#This Row],[QuantityInStock]]&lt;=Table24[[#This Row],[ReorderPoint]],"Low Stock",Table24[[#This Row],[QuantityInStock]]&gt;Table24[[#This Row],[ReorderPoint]],"Adequate Stock",Table24[[#This Row],[QuantityInStock]]=0,"Out Of Stock")</f>
        <v>Adequate Stock</v>
      </c>
      <c r="G249" s="2" t="s">
        <v>517</v>
      </c>
      <c r="H249" s="2" t="s">
        <v>521</v>
      </c>
      <c r="I249" s="2">
        <v>20</v>
      </c>
      <c r="J249" s="2" t="s">
        <v>527</v>
      </c>
      <c r="K249" s="2">
        <v>185.29</v>
      </c>
      <c r="L249" s="2">
        <f>Table24[[#This Row],[QuantityInStock]]*Table24[[#This Row],[UnitCost]]</f>
        <v>83195.209999999992</v>
      </c>
    </row>
    <row r="250" spans="1:12" x14ac:dyDescent="0.3">
      <c r="A250" s="2" t="s">
        <v>257</v>
      </c>
      <c r="B250" s="2" t="s">
        <v>510</v>
      </c>
      <c r="C250" s="2" t="str">
        <f>_xlfn.XLOOKUP(Table24[[#This Row],[ProductName]],Table4[Product name],Table4[Category],"Not Found",0)</f>
        <v>Electronics</v>
      </c>
      <c r="D250" s="2">
        <v>384</v>
      </c>
      <c r="E250" s="2">
        <v>29</v>
      </c>
      <c r="F250" s="2" t="str" cm="1">
        <f t="array" ref="F250">_xlfn.IFS(Table24[[#This Row],[QuantityInStock]]&lt;=Table24[[#This Row],[ReorderPoint]],"Low Stock",Table24[[#This Row],[QuantityInStock]]&gt;Table24[[#This Row],[ReorderPoint]],"Adequate Stock",Table24[[#This Row],[QuantityInStock]]=0,"Out Of Stock")</f>
        <v>Adequate Stock</v>
      </c>
      <c r="G250" s="2" t="s">
        <v>519</v>
      </c>
      <c r="H250" s="2" t="s">
        <v>523</v>
      </c>
      <c r="I250" s="2">
        <v>9</v>
      </c>
      <c r="J250" s="2" t="s">
        <v>524</v>
      </c>
      <c r="K250" s="2">
        <v>192.91</v>
      </c>
      <c r="L250" s="2">
        <f>Table24[[#This Row],[QuantityInStock]]*Table24[[#This Row],[UnitCost]]</f>
        <v>74077.440000000002</v>
      </c>
    </row>
    <row r="251" spans="1:12" x14ac:dyDescent="0.3">
      <c r="A251" s="2" t="s">
        <v>258</v>
      </c>
      <c r="B251" s="2" t="s">
        <v>510</v>
      </c>
      <c r="C251" s="2" t="str">
        <f>_xlfn.XLOOKUP(Table24[[#This Row],[ProductName]],Table4[Product name],Table4[Category],"Not Found",0)</f>
        <v>Electronics</v>
      </c>
      <c r="D251" s="2">
        <v>127</v>
      </c>
      <c r="E251" s="2">
        <v>70</v>
      </c>
      <c r="F251" s="2" t="str" cm="1">
        <f t="array" ref="F251">_xlfn.IFS(Table24[[#This Row],[QuantityInStock]]&lt;=Table24[[#This Row],[ReorderPoint]],"Low Stock",Table24[[#This Row],[QuantityInStock]]&gt;Table24[[#This Row],[ReorderPoint]],"Adequate Stock",Table24[[#This Row],[QuantityInStock]]=0,"Out Of Stock")</f>
        <v>Adequate Stock</v>
      </c>
      <c r="G251" s="2" t="s">
        <v>519</v>
      </c>
      <c r="H251" s="2" t="s">
        <v>523</v>
      </c>
      <c r="I251" s="2">
        <v>20</v>
      </c>
      <c r="J251" s="2" t="s">
        <v>526</v>
      </c>
      <c r="K251" s="2">
        <v>113.72</v>
      </c>
      <c r="L251" s="2">
        <f>Table24[[#This Row],[QuantityInStock]]*Table24[[#This Row],[UnitCost]]</f>
        <v>14442.44</v>
      </c>
    </row>
    <row r="252" spans="1:12" x14ac:dyDescent="0.3">
      <c r="A252" s="2" t="s">
        <v>259</v>
      </c>
      <c r="B252" s="2" t="s">
        <v>515</v>
      </c>
      <c r="C252" s="2" t="str">
        <f>_xlfn.XLOOKUP(Table24[[#This Row],[ProductName]],Table4[Product name],Table4[Category],"Not Found",0)</f>
        <v>Electronics</v>
      </c>
      <c r="D252" s="2">
        <v>46</v>
      </c>
      <c r="E252" s="2">
        <v>29</v>
      </c>
      <c r="F252" s="2" t="str" cm="1">
        <f t="array" ref="F252">_xlfn.IFS(Table24[[#This Row],[QuantityInStock]]&lt;=Table24[[#This Row],[ReorderPoint]],"Low Stock",Table24[[#This Row],[QuantityInStock]]&gt;Table24[[#This Row],[ReorderPoint]],"Adequate Stock",Table24[[#This Row],[QuantityInStock]]=0,"Out Of Stock")</f>
        <v>Adequate Stock</v>
      </c>
      <c r="G252" s="2" t="s">
        <v>518</v>
      </c>
      <c r="H252" s="2" t="s">
        <v>522</v>
      </c>
      <c r="I252" s="2">
        <v>9</v>
      </c>
      <c r="J252" s="2" t="s">
        <v>527</v>
      </c>
      <c r="K252" s="2">
        <v>140.75</v>
      </c>
      <c r="L252" s="2">
        <f>Table24[[#This Row],[QuantityInStock]]*Table24[[#This Row],[UnitCost]]</f>
        <v>6474.5</v>
      </c>
    </row>
    <row r="253" spans="1:12" x14ac:dyDescent="0.3">
      <c r="A253" s="2" t="s">
        <v>260</v>
      </c>
      <c r="B253" s="2" t="s">
        <v>513</v>
      </c>
      <c r="C253" s="2" t="str">
        <f>_xlfn.XLOOKUP(Table24[[#This Row],[ProductName]],Table4[Product name],Table4[Category],"Not Found",0)</f>
        <v>Electronics</v>
      </c>
      <c r="D253" s="2">
        <v>32</v>
      </c>
      <c r="E253" s="2">
        <v>76</v>
      </c>
      <c r="F253" s="2" t="str" cm="1">
        <f t="array" ref="F253">_xlfn.IFS(Table24[[#This Row],[QuantityInStock]]&lt;=Table24[[#This Row],[ReorderPoint]],"Low Stock",Table24[[#This Row],[QuantityInStock]]&gt;Table24[[#This Row],[ReorderPoint]],"Adequate Stock",Table24[[#This Row],[QuantityInStock]]=0,"Out Of Stock")</f>
        <v>Low Stock</v>
      </c>
      <c r="G253" s="2" t="s">
        <v>516</v>
      </c>
      <c r="H253" s="2" t="s">
        <v>520</v>
      </c>
      <c r="I253" s="2">
        <v>15</v>
      </c>
      <c r="J253" s="2" t="s">
        <v>526</v>
      </c>
      <c r="K253" s="2">
        <v>86.61</v>
      </c>
      <c r="L253" s="2">
        <f>Table24[[#This Row],[QuantityInStock]]*Table24[[#This Row],[UnitCost]]</f>
        <v>2771.52</v>
      </c>
    </row>
    <row r="254" spans="1:12" x14ac:dyDescent="0.3">
      <c r="A254" s="2" t="s">
        <v>261</v>
      </c>
      <c r="B254" s="2" t="s">
        <v>513</v>
      </c>
      <c r="C254" s="2" t="str">
        <f>_xlfn.XLOOKUP(Table24[[#This Row],[ProductName]],Table4[Product name],Table4[Category],"Not Found",0)</f>
        <v>Electronics</v>
      </c>
      <c r="D254" s="2">
        <v>293</v>
      </c>
      <c r="E254" s="2">
        <v>89</v>
      </c>
      <c r="F254" s="2" t="str" cm="1">
        <f t="array" ref="F254">_xlfn.IFS(Table24[[#This Row],[QuantityInStock]]&lt;=Table24[[#This Row],[ReorderPoint]],"Low Stock",Table24[[#This Row],[QuantityInStock]]&gt;Table24[[#This Row],[ReorderPoint]],"Adequate Stock",Table24[[#This Row],[QuantityInStock]]=0,"Out Of Stock")</f>
        <v>Adequate Stock</v>
      </c>
      <c r="G254" s="2" t="s">
        <v>516</v>
      </c>
      <c r="H254" s="2" t="s">
        <v>520</v>
      </c>
      <c r="I254" s="2">
        <v>12</v>
      </c>
      <c r="J254" s="2" t="s">
        <v>528</v>
      </c>
      <c r="K254" s="2">
        <v>145.97</v>
      </c>
      <c r="L254" s="2">
        <f>Table24[[#This Row],[QuantityInStock]]*Table24[[#This Row],[UnitCost]]</f>
        <v>42769.21</v>
      </c>
    </row>
    <row r="255" spans="1:12" x14ac:dyDescent="0.3">
      <c r="A255" s="2" t="s">
        <v>262</v>
      </c>
      <c r="B255" s="2" t="s">
        <v>509</v>
      </c>
      <c r="C255" s="2" t="str">
        <f>_xlfn.XLOOKUP(Table24[[#This Row],[ProductName]],Table4[Product name],Table4[Category],"Not Found",0)</f>
        <v>Electronics</v>
      </c>
      <c r="D255" s="2">
        <v>63</v>
      </c>
      <c r="E255" s="2">
        <v>35</v>
      </c>
      <c r="F255" s="2" t="str" cm="1">
        <f t="array" ref="F255">_xlfn.IFS(Table24[[#This Row],[QuantityInStock]]&lt;=Table24[[#This Row],[ReorderPoint]],"Low Stock",Table24[[#This Row],[QuantityInStock]]&gt;Table24[[#This Row],[ReorderPoint]],"Adequate Stock",Table24[[#This Row],[QuantityInStock]]=0,"Out Of Stock")</f>
        <v>Adequate Stock</v>
      </c>
      <c r="G255" s="2" t="s">
        <v>516</v>
      </c>
      <c r="H255" s="2" t="s">
        <v>520</v>
      </c>
      <c r="I255" s="2">
        <v>11</v>
      </c>
      <c r="J255" s="2" t="s">
        <v>528</v>
      </c>
      <c r="K255" s="2">
        <v>153.03</v>
      </c>
      <c r="L255" s="2">
        <f>Table24[[#This Row],[QuantityInStock]]*Table24[[#This Row],[UnitCost]]</f>
        <v>9640.89</v>
      </c>
    </row>
    <row r="256" spans="1:12" x14ac:dyDescent="0.3">
      <c r="A256" s="2" t="s">
        <v>263</v>
      </c>
      <c r="B256" s="2" t="s">
        <v>512</v>
      </c>
      <c r="C256" s="2" t="str">
        <f>_xlfn.XLOOKUP(Table24[[#This Row],[ProductName]],Table4[Product name],Table4[Category],"Not Found",0)</f>
        <v>Furniture</v>
      </c>
      <c r="D256" s="2">
        <v>419</v>
      </c>
      <c r="E256" s="2">
        <v>23</v>
      </c>
      <c r="F256" s="2" t="str" cm="1">
        <f t="array" ref="F256">_xlfn.IFS(Table24[[#This Row],[QuantityInStock]]&lt;=Table24[[#This Row],[ReorderPoint]],"Low Stock",Table24[[#This Row],[QuantityInStock]]&gt;Table24[[#This Row],[ReorderPoint]],"Adequate Stock",Table24[[#This Row],[QuantityInStock]]=0,"Out Of Stock")</f>
        <v>Adequate Stock</v>
      </c>
      <c r="G256" s="2" t="s">
        <v>516</v>
      </c>
      <c r="H256" s="2" t="s">
        <v>520</v>
      </c>
      <c r="I256" s="2">
        <v>5</v>
      </c>
      <c r="J256" s="2" t="s">
        <v>526</v>
      </c>
      <c r="K256" s="2">
        <v>67.05</v>
      </c>
      <c r="L256" s="2">
        <f>Table24[[#This Row],[QuantityInStock]]*Table24[[#This Row],[UnitCost]]</f>
        <v>28093.949999999997</v>
      </c>
    </row>
    <row r="257" spans="1:12" x14ac:dyDescent="0.3">
      <c r="A257" s="2" t="s">
        <v>264</v>
      </c>
      <c r="B257" s="2" t="s">
        <v>515</v>
      </c>
      <c r="C257" s="2" t="str">
        <f>_xlfn.XLOOKUP(Table24[[#This Row],[ProductName]],Table4[Product name],Table4[Category],"Not Found",0)</f>
        <v>Electronics</v>
      </c>
      <c r="D257" s="2">
        <v>454</v>
      </c>
      <c r="E257" s="2">
        <v>85</v>
      </c>
      <c r="F257" s="2" t="str" cm="1">
        <f t="array" ref="F257">_xlfn.IFS(Table24[[#This Row],[QuantityInStock]]&lt;=Table24[[#This Row],[ReorderPoint]],"Low Stock",Table24[[#This Row],[QuantityInStock]]&gt;Table24[[#This Row],[ReorderPoint]],"Adequate Stock",Table24[[#This Row],[QuantityInStock]]=0,"Out Of Stock")</f>
        <v>Adequate Stock</v>
      </c>
      <c r="G257" s="2" t="s">
        <v>517</v>
      </c>
      <c r="H257" s="2" t="s">
        <v>521</v>
      </c>
      <c r="I257" s="2">
        <v>17</v>
      </c>
      <c r="J257" s="2" t="s">
        <v>527</v>
      </c>
      <c r="K257" s="2">
        <v>6.56</v>
      </c>
      <c r="L257" s="2">
        <f>Table24[[#This Row],[QuantityInStock]]*Table24[[#This Row],[UnitCost]]</f>
        <v>2978.24</v>
      </c>
    </row>
    <row r="258" spans="1:12" x14ac:dyDescent="0.3">
      <c r="A258" s="2" t="s">
        <v>265</v>
      </c>
      <c r="B258" s="2" t="s">
        <v>509</v>
      </c>
      <c r="C258" s="2" t="str">
        <f>_xlfn.XLOOKUP(Table24[[#This Row],[ProductName]],Table4[Product name],Table4[Category],"Not Found",0)</f>
        <v>Electronics</v>
      </c>
      <c r="D258" s="2">
        <v>358</v>
      </c>
      <c r="E258" s="2">
        <v>96</v>
      </c>
      <c r="F258" s="2" t="str" cm="1">
        <f t="array" ref="F258">_xlfn.IFS(Table24[[#This Row],[QuantityInStock]]&lt;=Table24[[#This Row],[ReorderPoint]],"Low Stock",Table24[[#This Row],[QuantityInStock]]&gt;Table24[[#This Row],[ReorderPoint]],"Adequate Stock",Table24[[#This Row],[QuantityInStock]]=0,"Out Of Stock")</f>
        <v>Adequate Stock</v>
      </c>
      <c r="G258" s="2" t="s">
        <v>519</v>
      </c>
      <c r="H258" s="2" t="s">
        <v>523</v>
      </c>
      <c r="I258" s="2">
        <v>19</v>
      </c>
      <c r="J258" s="2" t="s">
        <v>528</v>
      </c>
      <c r="K258" s="2">
        <v>120.24</v>
      </c>
      <c r="L258" s="2">
        <f>Table24[[#This Row],[QuantityInStock]]*Table24[[#This Row],[UnitCost]]</f>
        <v>43045.919999999998</v>
      </c>
    </row>
    <row r="259" spans="1:12" x14ac:dyDescent="0.3">
      <c r="A259" s="2" t="s">
        <v>266</v>
      </c>
      <c r="B259" s="2" t="s">
        <v>514</v>
      </c>
      <c r="C259" s="2" t="str">
        <f>_xlfn.XLOOKUP(Table24[[#This Row],[ProductName]],Table4[Product name],Table4[Category],"Not Found",0)</f>
        <v>Furniture</v>
      </c>
      <c r="D259" s="2">
        <v>124</v>
      </c>
      <c r="E259" s="2">
        <v>65</v>
      </c>
      <c r="F259" s="2" t="str" cm="1">
        <f t="array" ref="F259">_xlfn.IFS(Table24[[#This Row],[QuantityInStock]]&lt;=Table24[[#This Row],[ReorderPoint]],"Low Stock",Table24[[#This Row],[QuantityInStock]]&gt;Table24[[#This Row],[ReorderPoint]],"Adequate Stock",Table24[[#This Row],[QuantityInStock]]=0,"Out Of Stock")</f>
        <v>Adequate Stock</v>
      </c>
      <c r="G259" s="2" t="s">
        <v>519</v>
      </c>
      <c r="H259" s="2" t="s">
        <v>523</v>
      </c>
      <c r="I259" s="2">
        <v>5</v>
      </c>
      <c r="J259" s="2" t="s">
        <v>527</v>
      </c>
      <c r="K259" s="2">
        <v>90.8</v>
      </c>
      <c r="L259" s="2">
        <f>Table24[[#This Row],[QuantityInStock]]*Table24[[#This Row],[UnitCost]]</f>
        <v>11259.199999999999</v>
      </c>
    </row>
    <row r="260" spans="1:12" x14ac:dyDescent="0.3">
      <c r="A260" s="2" t="s">
        <v>267</v>
      </c>
      <c r="B260" s="2" t="s">
        <v>514</v>
      </c>
      <c r="C260" s="2" t="str">
        <f>_xlfn.XLOOKUP(Table24[[#This Row],[ProductName]],Table4[Product name],Table4[Category],"Not Found",0)</f>
        <v>Furniture</v>
      </c>
      <c r="D260" s="2">
        <v>117</v>
      </c>
      <c r="E260" s="2">
        <v>41</v>
      </c>
      <c r="F260" s="2" t="str" cm="1">
        <f t="array" ref="F260">_xlfn.IFS(Table24[[#This Row],[QuantityInStock]]&lt;=Table24[[#This Row],[ReorderPoint]],"Low Stock",Table24[[#This Row],[QuantityInStock]]&gt;Table24[[#This Row],[ReorderPoint]],"Adequate Stock",Table24[[#This Row],[QuantityInStock]]=0,"Out Of Stock")</f>
        <v>Adequate Stock</v>
      </c>
      <c r="G260" s="2" t="s">
        <v>519</v>
      </c>
      <c r="H260" s="2" t="s">
        <v>523</v>
      </c>
      <c r="I260" s="2">
        <v>18</v>
      </c>
      <c r="J260" s="2" t="s">
        <v>527</v>
      </c>
      <c r="K260" s="2">
        <v>22.58</v>
      </c>
      <c r="L260" s="2">
        <f>Table24[[#This Row],[QuantityInStock]]*Table24[[#This Row],[UnitCost]]</f>
        <v>2641.8599999999997</v>
      </c>
    </row>
    <row r="261" spans="1:12" x14ac:dyDescent="0.3">
      <c r="A261" s="2" t="s">
        <v>268</v>
      </c>
      <c r="B261" s="2" t="s">
        <v>515</v>
      </c>
      <c r="C261" s="2" t="str">
        <f>_xlfn.XLOOKUP(Table24[[#This Row],[ProductName]],Table4[Product name],Table4[Category],"Not Found",0)</f>
        <v>Electronics</v>
      </c>
      <c r="D261" s="2">
        <v>418</v>
      </c>
      <c r="E261" s="2">
        <v>67</v>
      </c>
      <c r="F261" s="2" t="str" cm="1">
        <f t="array" ref="F261">_xlfn.IFS(Table24[[#This Row],[QuantityInStock]]&lt;=Table24[[#This Row],[ReorderPoint]],"Low Stock",Table24[[#This Row],[QuantityInStock]]&gt;Table24[[#This Row],[ReorderPoint]],"Adequate Stock",Table24[[#This Row],[QuantityInStock]]=0,"Out Of Stock")</f>
        <v>Adequate Stock</v>
      </c>
      <c r="G261" s="2" t="s">
        <v>516</v>
      </c>
      <c r="H261" s="2" t="s">
        <v>520</v>
      </c>
      <c r="I261" s="2">
        <v>8</v>
      </c>
      <c r="J261" s="2" t="s">
        <v>524</v>
      </c>
      <c r="K261" s="2">
        <v>119.78</v>
      </c>
      <c r="L261" s="2">
        <f>Table24[[#This Row],[QuantityInStock]]*Table24[[#This Row],[UnitCost]]</f>
        <v>50068.04</v>
      </c>
    </row>
    <row r="262" spans="1:12" x14ac:dyDescent="0.3">
      <c r="A262" s="2" t="s">
        <v>269</v>
      </c>
      <c r="B262" s="2" t="s">
        <v>509</v>
      </c>
      <c r="C262" s="2" t="str">
        <f>_xlfn.XLOOKUP(Table24[[#This Row],[ProductName]],Table4[Product name],Table4[Category],"Not Found",0)</f>
        <v>Electronics</v>
      </c>
      <c r="D262" s="2">
        <v>391</v>
      </c>
      <c r="E262" s="2">
        <v>56</v>
      </c>
      <c r="F262" s="2" t="str" cm="1">
        <f t="array" ref="F262">_xlfn.IFS(Table24[[#This Row],[QuantityInStock]]&lt;=Table24[[#This Row],[ReorderPoint]],"Low Stock",Table24[[#This Row],[QuantityInStock]]&gt;Table24[[#This Row],[ReorderPoint]],"Adequate Stock",Table24[[#This Row],[QuantityInStock]]=0,"Out Of Stock")</f>
        <v>Adequate Stock</v>
      </c>
      <c r="G262" s="2" t="s">
        <v>518</v>
      </c>
      <c r="H262" s="2" t="s">
        <v>522</v>
      </c>
      <c r="I262" s="2">
        <v>18</v>
      </c>
      <c r="J262" s="2" t="s">
        <v>524</v>
      </c>
      <c r="K262" s="2">
        <v>168.98</v>
      </c>
      <c r="L262" s="2">
        <f>Table24[[#This Row],[QuantityInStock]]*Table24[[#This Row],[UnitCost]]</f>
        <v>66071.179999999993</v>
      </c>
    </row>
    <row r="263" spans="1:12" x14ac:dyDescent="0.3">
      <c r="A263" s="2" t="s">
        <v>270</v>
      </c>
      <c r="B263" s="2" t="s">
        <v>512</v>
      </c>
      <c r="C263" s="2" t="str">
        <f>_xlfn.XLOOKUP(Table24[[#This Row],[ProductName]],Table4[Product name],Table4[Category],"Not Found",0)</f>
        <v>Furniture</v>
      </c>
      <c r="D263" s="2">
        <v>268</v>
      </c>
      <c r="E263" s="2">
        <v>35</v>
      </c>
      <c r="F263" s="2" t="str" cm="1">
        <f t="array" ref="F263">_xlfn.IFS(Table24[[#This Row],[QuantityInStock]]&lt;=Table24[[#This Row],[ReorderPoint]],"Low Stock",Table24[[#This Row],[QuantityInStock]]&gt;Table24[[#This Row],[ReorderPoint]],"Adequate Stock",Table24[[#This Row],[QuantityInStock]]=0,"Out Of Stock")</f>
        <v>Adequate Stock</v>
      </c>
      <c r="G263" s="2" t="s">
        <v>518</v>
      </c>
      <c r="H263" s="2" t="s">
        <v>522</v>
      </c>
      <c r="I263" s="2">
        <v>6</v>
      </c>
      <c r="J263" s="2" t="s">
        <v>527</v>
      </c>
      <c r="K263" s="2">
        <v>34.090000000000003</v>
      </c>
      <c r="L263" s="2">
        <f>Table24[[#This Row],[QuantityInStock]]*Table24[[#This Row],[UnitCost]]</f>
        <v>9136.1200000000008</v>
      </c>
    </row>
    <row r="264" spans="1:12" x14ac:dyDescent="0.3">
      <c r="A264" s="2" t="s">
        <v>271</v>
      </c>
      <c r="B264" s="2" t="s">
        <v>510</v>
      </c>
      <c r="C264" s="2" t="str">
        <f>_xlfn.XLOOKUP(Table24[[#This Row],[ProductName]],Table4[Product name],Table4[Category],"Not Found",0)</f>
        <v>Electronics</v>
      </c>
      <c r="D264" s="2">
        <v>234</v>
      </c>
      <c r="E264" s="2">
        <v>63</v>
      </c>
      <c r="F264" s="2" t="str" cm="1">
        <f t="array" ref="F264">_xlfn.IFS(Table24[[#This Row],[QuantityInStock]]&lt;=Table24[[#This Row],[ReorderPoint]],"Low Stock",Table24[[#This Row],[QuantityInStock]]&gt;Table24[[#This Row],[ReorderPoint]],"Adequate Stock",Table24[[#This Row],[QuantityInStock]]=0,"Out Of Stock")</f>
        <v>Adequate Stock</v>
      </c>
      <c r="G264" s="2" t="s">
        <v>518</v>
      </c>
      <c r="H264" s="2" t="s">
        <v>522</v>
      </c>
      <c r="I264" s="2">
        <v>18</v>
      </c>
      <c r="J264" s="2" t="s">
        <v>525</v>
      </c>
      <c r="K264" s="2">
        <v>192.28</v>
      </c>
      <c r="L264" s="2">
        <f>Table24[[#This Row],[QuantityInStock]]*Table24[[#This Row],[UnitCost]]</f>
        <v>44993.52</v>
      </c>
    </row>
    <row r="265" spans="1:12" x14ac:dyDescent="0.3">
      <c r="A265" s="2" t="s">
        <v>272</v>
      </c>
      <c r="B265" s="2" t="s">
        <v>513</v>
      </c>
      <c r="C265" s="2" t="str">
        <f>_xlfn.XLOOKUP(Table24[[#This Row],[ProductName]],Table4[Product name],Table4[Category],"Not Found",0)</f>
        <v>Electronics</v>
      </c>
      <c r="D265" s="2">
        <v>498</v>
      </c>
      <c r="E265" s="2">
        <v>67</v>
      </c>
      <c r="F265" s="2" t="str" cm="1">
        <f t="array" ref="F265">_xlfn.IFS(Table24[[#This Row],[QuantityInStock]]&lt;=Table24[[#This Row],[ReorderPoint]],"Low Stock",Table24[[#This Row],[QuantityInStock]]&gt;Table24[[#This Row],[ReorderPoint]],"Adequate Stock",Table24[[#This Row],[QuantityInStock]]=0,"Out Of Stock")</f>
        <v>Adequate Stock</v>
      </c>
      <c r="G265" s="2" t="s">
        <v>517</v>
      </c>
      <c r="H265" s="2" t="s">
        <v>521</v>
      </c>
      <c r="I265" s="2">
        <v>5</v>
      </c>
      <c r="J265" s="2" t="s">
        <v>527</v>
      </c>
      <c r="K265" s="2">
        <v>137.19999999999999</v>
      </c>
      <c r="L265" s="2">
        <f>Table24[[#This Row],[QuantityInStock]]*Table24[[#This Row],[UnitCost]]</f>
        <v>68325.599999999991</v>
      </c>
    </row>
    <row r="266" spans="1:12" x14ac:dyDescent="0.3">
      <c r="A266" s="2" t="s">
        <v>273</v>
      </c>
      <c r="B266" s="2" t="s">
        <v>511</v>
      </c>
      <c r="C266" s="2" t="str">
        <f>_xlfn.XLOOKUP(Table24[[#This Row],[ProductName]],Table4[Product name],Table4[Category],"Not Found",0)</f>
        <v>Electronics</v>
      </c>
      <c r="D266" s="2">
        <v>427</v>
      </c>
      <c r="E266" s="2">
        <v>46</v>
      </c>
      <c r="F266" s="2" t="str" cm="1">
        <f t="array" ref="F266">_xlfn.IFS(Table24[[#This Row],[QuantityInStock]]&lt;=Table24[[#This Row],[ReorderPoint]],"Low Stock",Table24[[#This Row],[QuantityInStock]]&gt;Table24[[#This Row],[ReorderPoint]],"Adequate Stock",Table24[[#This Row],[QuantityInStock]]=0,"Out Of Stock")</f>
        <v>Adequate Stock</v>
      </c>
      <c r="G266" s="2" t="s">
        <v>517</v>
      </c>
      <c r="H266" s="2" t="s">
        <v>521</v>
      </c>
      <c r="I266" s="2">
        <v>3</v>
      </c>
      <c r="J266" s="2" t="s">
        <v>525</v>
      </c>
      <c r="K266" s="2">
        <v>106.82</v>
      </c>
      <c r="L266" s="2">
        <f>Table24[[#This Row],[QuantityInStock]]*Table24[[#This Row],[UnitCost]]</f>
        <v>45612.14</v>
      </c>
    </row>
    <row r="267" spans="1:12" x14ac:dyDescent="0.3">
      <c r="A267" s="2" t="s">
        <v>274</v>
      </c>
      <c r="B267" s="2" t="s">
        <v>513</v>
      </c>
      <c r="C267" s="2" t="str">
        <f>_xlfn.XLOOKUP(Table24[[#This Row],[ProductName]],Table4[Product name],Table4[Category],"Not Found",0)</f>
        <v>Electronics</v>
      </c>
      <c r="D267" s="2">
        <v>88</v>
      </c>
      <c r="E267" s="2">
        <v>99</v>
      </c>
      <c r="F267" s="2" t="str" cm="1">
        <f t="array" ref="F267">_xlfn.IFS(Table24[[#This Row],[QuantityInStock]]&lt;=Table24[[#This Row],[ReorderPoint]],"Low Stock",Table24[[#This Row],[QuantityInStock]]&gt;Table24[[#This Row],[ReorderPoint]],"Adequate Stock",Table24[[#This Row],[QuantityInStock]]=0,"Out Of Stock")</f>
        <v>Low Stock</v>
      </c>
      <c r="G267" s="2" t="s">
        <v>516</v>
      </c>
      <c r="H267" s="2" t="s">
        <v>520</v>
      </c>
      <c r="I267" s="2">
        <v>17</v>
      </c>
      <c r="J267" s="2" t="s">
        <v>525</v>
      </c>
      <c r="K267" s="2">
        <v>99.75</v>
      </c>
      <c r="L267" s="2">
        <f>Table24[[#This Row],[QuantityInStock]]*Table24[[#This Row],[UnitCost]]</f>
        <v>8778</v>
      </c>
    </row>
    <row r="268" spans="1:12" x14ac:dyDescent="0.3">
      <c r="A268" s="2" t="s">
        <v>275</v>
      </c>
      <c r="B268" s="2" t="s">
        <v>510</v>
      </c>
      <c r="C268" s="2" t="str">
        <f>_xlfn.XLOOKUP(Table24[[#This Row],[ProductName]],Table4[Product name],Table4[Category],"Not Found",0)</f>
        <v>Electronics</v>
      </c>
      <c r="D268" s="2">
        <v>229</v>
      </c>
      <c r="E268" s="2">
        <v>56</v>
      </c>
      <c r="F268" s="2" t="str" cm="1">
        <f t="array" ref="F268">_xlfn.IFS(Table24[[#This Row],[QuantityInStock]]&lt;=Table24[[#This Row],[ReorderPoint]],"Low Stock",Table24[[#This Row],[QuantityInStock]]&gt;Table24[[#This Row],[ReorderPoint]],"Adequate Stock",Table24[[#This Row],[QuantityInStock]]=0,"Out Of Stock")</f>
        <v>Adequate Stock</v>
      </c>
      <c r="G268" s="2" t="s">
        <v>519</v>
      </c>
      <c r="H268" s="2" t="s">
        <v>523</v>
      </c>
      <c r="I268" s="2">
        <v>19</v>
      </c>
      <c r="J268" s="2" t="s">
        <v>524</v>
      </c>
      <c r="K268" s="2">
        <v>162.96</v>
      </c>
      <c r="L268" s="2">
        <f>Table24[[#This Row],[QuantityInStock]]*Table24[[#This Row],[UnitCost]]</f>
        <v>37317.840000000004</v>
      </c>
    </row>
    <row r="269" spans="1:12" x14ac:dyDescent="0.3">
      <c r="A269" s="2" t="s">
        <v>276</v>
      </c>
      <c r="B269" s="2" t="s">
        <v>512</v>
      </c>
      <c r="C269" s="2" t="str">
        <f>_xlfn.XLOOKUP(Table24[[#This Row],[ProductName]],Table4[Product name],Table4[Category],"Not Found",0)</f>
        <v>Furniture</v>
      </c>
      <c r="D269" s="2">
        <v>6</v>
      </c>
      <c r="E269" s="2">
        <v>99</v>
      </c>
      <c r="F269" s="2" t="str" cm="1">
        <f t="array" ref="F269">_xlfn.IFS(Table24[[#This Row],[QuantityInStock]]&lt;=Table24[[#This Row],[ReorderPoint]],"Low Stock",Table24[[#This Row],[QuantityInStock]]&gt;Table24[[#This Row],[ReorderPoint]],"Adequate Stock",Table24[[#This Row],[QuantityInStock]]=0,"Out Of Stock")</f>
        <v>Low Stock</v>
      </c>
      <c r="G269" s="2" t="s">
        <v>518</v>
      </c>
      <c r="H269" s="2" t="s">
        <v>522</v>
      </c>
      <c r="I269" s="2">
        <v>16</v>
      </c>
      <c r="J269" s="2" t="s">
        <v>526</v>
      </c>
      <c r="K269" s="2">
        <v>69.52</v>
      </c>
      <c r="L269" s="2">
        <f>Table24[[#This Row],[QuantityInStock]]*Table24[[#This Row],[UnitCost]]</f>
        <v>417.12</v>
      </c>
    </row>
    <row r="270" spans="1:12" x14ac:dyDescent="0.3">
      <c r="A270" s="2" t="s">
        <v>277</v>
      </c>
      <c r="B270" s="2" t="s">
        <v>509</v>
      </c>
      <c r="C270" s="2" t="str">
        <f>_xlfn.XLOOKUP(Table24[[#This Row],[ProductName]],Table4[Product name],Table4[Category],"Not Found",0)</f>
        <v>Electronics</v>
      </c>
      <c r="D270" s="2">
        <v>33</v>
      </c>
      <c r="E270" s="2">
        <v>39</v>
      </c>
      <c r="F270" s="2" t="str" cm="1">
        <f t="array" ref="F270">_xlfn.IFS(Table24[[#This Row],[QuantityInStock]]&lt;=Table24[[#This Row],[ReorderPoint]],"Low Stock",Table24[[#This Row],[QuantityInStock]]&gt;Table24[[#This Row],[ReorderPoint]],"Adequate Stock",Table24[[#This Row],[QuantityInStock]]=0,"Out Of Stock")</f>
        <v>Low Stock</v>
      </c>
      <c r="G270" s="2" t="s">
        <v>516</v>
      </c>
      <c r="H270" s="2" t="s">
        <v>520</v>
      </c>
      <c r="I270" s="2">
        <v>4</v>
      </c>
      <c r="J270" s="2" t="s">
        <v>524</v>
      </c>
      <c r="K270" s="2">
        <v>89.01</v>
      </c>
      <c r="L270" s="2">
        <f>Table24[[#This Row],[QuantityInStock]]*Table24[[#This Row],[UnitCost]]</f>
        <v>2937.3300000000004</v>
      </c>
    </row>
    <row r="271" spans="1:12" x14ac:dyDescent="0.3">
      <c r="A271" s="2" t="s">
        <v>278</v>
      </c>
      <c r="B271" s="2" t="s">
        <v>512</v>
      </c>
      <c r="C271" s="2" t="str">
        <f>_xlfn.XLOOKUP(Table24[[#This Row],[ProductName]],Table4[Product name],Table4[Category],"Not Found",0)</f>
        <v>Furniture</v>
      </c>
      <c r="D271" s="2">
        <v>25</v>
      </c>
      <c r="E271" s="2">
        <v>96</v>
      </c>
      <c r="F271" s="2" t="str" cm="1">
        <f t="array" ref="F271">_xlfn.IFS(Table24[[#This Row],[QuantityInStock]]&lt;=Table24[[#This Row],[ReorderPoint]],"Low Stock",Table24[[#This Row],[QuantityInStock]]&gt;Table24[[#This Row],[ReorderPoint]],"Adequate Stock",Table24[[#This Row],[QuantityInStock]]=0,"Out Of Stock")</f>
        <v>Low Stock</v>
      </c>
      <c r="G271" s="2" t="s">
        <v>516</v>
      </c>
      <c r="H271" s="2" t="s">
        <v>520</v>
      </c>
      <c r="I271" s="2">
        <v>12</v>
      </c>
      <c r="J271" s="2" t="s">
        <v>527</v>
      </c>
      <c r="K271" s="2">
        <v>169.69</v>
      </c>
      <c r="L271" s="2">
        <f>Table24[[#This Row],[QuantityInStock]]*Table24[[#This Row],[UnitCost]]</f>
        <v>4242.25</v>
      </c>
    </row>
    <row r="272" spans="1:12" x14ac:dyDescent="0.3">
      <c r="A272" s="2" t="s">
        <v>279</v>
      </c>
      <c r="B272" s="2" t="s">
        <v>513</v>
      </c>
      <c r="C272" s="2" t="str">
        <f>_xlfn.XLOOKUP(Table24[[#This Row],[ProductName]],Table4[Product name],Table4[Category],"Not Found",0)</f>
        <v>Electronics</v>
      </c>
      <c r="D272" s="2">
        <v>461</v>
      </c>
      <c r="E272" s="2">
        <v>94</v>
      </c>
      <c r="F272" s="2" t="str" cm="1">
        <f t="array" ref="F272">_xlfn.IFS(Table24[[#This Row],[QuantityInStock]]&lt;=Table24[[#This Row],[ReorderPoint]],"Low Stock",Table24[[#This Row],[QuantityInStock]]&gt;Table24[[#This Row],[ReorderPoint]],"Adequate Stock",Table24[[#This Row],[QuantityInStock]]=0,"Out Of Stock")</f>
        <v>Adequate Stock</v>
      </c>
      <c r="G272" s="2" t="s">
        <v>517</v>
      </c>
      <c r="H272" s="2" t="s">
        <v>521</v>
      </c>
      <c r="I272" s="2">
        <v>12</v>
      </c>
      <c r="J272" s="2" t="s">
        <v>527</v>
      </c>
      <c r="K272" s="2">
        <v>154.96</v>
      </c>
      <c r="L272" s="2">
        <f>Table24[[#This Row],[QuantityInStock]]*Table24[[#This Row],[UnitCost]]</f>
        <v>71436.56</v>
      </c>
    </row>
    <row r="273" spans="1:12" x14ac:dyDescent="0.3">
      <c r="A273" s="2" t="s">
        <v>280</v>
      </c>
      <c r="B273" s="2" t="s">
        <v>511</v>
      </c>
      <c r="C273" s="2" t="str">
        <f>_xlfn.XLOOKUP(Table24[[#This Row],[ProductName]],Table4[Product name],Table4[Category],"Not Found",0)</f>
        <v>Electronics</v>
      </c>
      <c r="D273" s="2">
        <v>478</v>
      </c>
      <c r="E273" s="2">
        <v>54</v>
      </c>
      <c r="F273" s="2" t="str" cm="1">
        <f t="array" ref="F273">_xlfn.IFS(Table24[[#This Row],[QuantityInStock]]&lt;=Table24[[#This Row],[ReorderPoint]],"Low Stock",Table24[[#This Row],[QuantityInStock]]&gt;Table24[[#This Row],[ReorderPoint]],"Adequate Stock",Table24[[#This Row],[QuantityInStock]]=0,"Out Of Stock")</f>
        <v>Adequate Stock</v>
      </c>
      <c r="G273" s="2" t="s">
        <v>519</v>
      </c>
      <c r="H273" s="2" t="s">
        <v>523</v>
      </c>
      <c r="I273" s="2">
        <v>11</v>
      </c>
      <c r="J273" s="2" t="s">
        <v>526</v>
      </c>
      <c r="K273" s="2">
        <v>52.86</v>
      </c>
      <c r="L273" s="2">
        <f>Table24[[#This Row],[QuantityInStock]]*Table24[[#This Row],[UnitCost]]</f>
        <v>25267.079999999998</v>
      </c>
    </row>
    <row r="274" spans="1:12" x14ac:dyDescent="0.3">
      <c r="A274" s="2" t="s">
        <v>281</v>
      </c>
      <c r="B274" s="2" t="s">
        <v>510</v>
      </c>
      <c r="C274" s="2" t="str">
        <f>_xlfn.XLOOKUP(Table24[[#This Row],[ProductName]],Table4[Product name],Table4[Category],"Not Found",0)</f>
        <v>Electronics</v>
      </c>
      <c r="D274" s="2">
        <v>26</v>
      </c>
      <c r="E274" s="2">
        <v>51</v>
      </c>
      <c r="F274" s="2" t="str" cm="1">
        <f t="array" ref="F274">_xlfn.IFS(Table24[[#This Row],[QuantityInStock]]&lt;=Table24[[#This Row],[ReorderPoint]],"Low Stock",Table24[[#This Row],[QuantityInStock]]&gt;Table24[[#This Row],[ReorderPoint]],"Adequate Stock",Table24[[#This Row],[QuantityInStock]]=0,"Out Of Stock")</f>
        <v>Low Stock</v>
      </c>
      <c r="G274" s="2" t="s">
        <v>519</v>
      </c>
      <c r="H274" s="2" t="s">
        <v>523</v>
      </c>
      <c r="I274" s="2">
        <v>16</v>
      </c>
      <c r="J274" s="2" t="s">
        <v>524</v>
      </c>
      <c r="K274" s="2">
        <v>130.44999999999999</v>
      </c>
      <c r="L274" s="2">
        <f>Table24[[#This Row],[QuantityInStock]]*Table24[[#This Row],[UnitCost]]</f>
        <v>3391.7</v>
      </c>
    </row>
    <row r="275" spans="1:12" x14ac:dyDescent="0.3">
      <c r="A275" s="2" t="s">
        <v>282</v>
      </c>
      <c r="B275" s="2" t="s">
        <v>514</v>
      </c>
      <c r="C275" s="2" t="str">
        <f>_xlfn.XLOOKUP(Table24[[#This Row],[ProductName]],Table4[Product name],Table4[Category],"Not Found",0)</f>
        <v>Furniture</v>
      </c>
      <c r="D275" s="2">
        <v>230</v>
      </c>
      <c r="E275" s="2">
        <v>68</v>
      </c>
      <c r="F275" s="2" t="str" cm="1">
        <f t="array" ref="F275">_xlfn.IFS(Table24[[#This Row],[QuantityInStock]]&lt;=Table24[[#This Row],[ReorderPoint]],"Low Stock",Table24[[#This Row],[QuantityInStock]]&gt;Table24[[#This Row],[ReorderPoint]],"Adequate Stock",Table24[[#This Row],[QuantityInStock]]=0,"Out Of Stock")</f>
        <v>Adequate Stock</v>
      </c>
      <c r="G275" s="2" t="s">
        <v>519</v>
      </c>
      <c r="H275" s="2" t="s">
        <v>523</v>
      </c>
      <c r="I275" s="2">
        <v>17</v>
      </c>
      <c r="J275" s="2" t="s">
        <v>526</v>
      </c>
      <c r="K275" s="2">
        <v>3.04</v>
      </c>
      <c r="L275" s="2">
        <f>Table24[[#This Row],[QuantityInStock]]*Table24[[#This Row],[UnitCost]]</f>
        <v>699.2</v>
      </c>
    </row>
    <row r="276" spans="1:12" x14ac:dyDescent="0.3">
      <c r="A276" s="2" t="s">
        <v>283</v>
      </c>
      <c r="B276" s="2" t="s">
        <v>512</v>
      </c>
      <c r="C276" s="2" t="str">
        <f>_xlfn.XLOOKUP(Table24[[#This Row],[ProductName]],Table4[Product name],Table4[Category],"Not Found",0)</f>
        <v>Furniture</v>
      </c>
      <c r="D276" s="2">
        <v>495</v>
      </c>
      <c r="E276" s="2">
        <v>27</v>
      </c>
      <c r="F276" s="2" t="str" cm="1">
        <f t="array" ref="F276">_xlfn.IFS(Table24[[#This Row],[QuantityInStock]]&lt;=Table24[[#This Row],[ReorderPoint]],"Low Stock",Table24[[#This Row],[QuantityInStock]]&gt;Table24[[#This Row],[ReorderPoint]],"Adequate Stock",Table24[[#This Row],[QuantityInStock]]=0,"Out Of Stock")</f>
        <v>Adequate Stock</v>
      </c>
      <c r="G276" s="2" t="s">
        <v>516</v>
      </c>
      <c r="H276" s="2" t="s">
        <v>520</v>
      </c>
      <c r="I276" s="2">
        <v>13</v>
      </c>
      <c r="J276" s="2" t="s">
        <v>527</v>
      </c>
      <c r="K276" s="2">
        <v>5.04</v>
      </c>
      <c r="L276" s="2">
        <f>Table24[[#This Row],[QuantityInStock]]*Table24[[#This Row],[UnitCost]]</f>
        <v>2494.8000000000002</v>
      </c>
    </row>
    <row r="277" spans="1:12" x14ac:dyDescent="0.3">
      <c r="A277" s="2" t="s">
        <v>284</v>
      </c>
      <c r="B277" s="2" t="s">
        <v>512</v>
      </c>
      <c r="C277" s="2" t="str">
        <f>_xlfn.XLOOKUP(Table24[[#This Row],[ProductName]],Table4[Product name],Table4[Category],"Not Found",0)</f>
        <v>Furniture</v>
      </c>
      <c r="D277" s="2">
        <v>67</v>
      </c>
      <c r="E277" s="2">
        <v>65</v>
      </c>
      <c r="F277" s="2" t="str" cm="1">
        <f t="array" ref="F277">_xlfn.IFS(Table24[[#This Row],[QuantityInStock]]&lt;=Table24[[#This Row],[ReorderPoint]],"Low Stock",Table24[[#This Row],[QuantityInStock]]&gt;Table24[[#This Row],[ReorderPoint]],"Adequate Stock",Table24[[#This Row],[QuantityInStock]]=0,"Out Of Stock")</f>
        <v>Adequate Stock</v>
      </c>
      <c r="G277" s="2" t="s">
        <v>519</v>
      </c>
      <c r="H277" s="2" t="s">
        <v>523</v>
      </c>
      <c r="I277" s="2">
        <v>12</v>
      </c>
      <c r="J277" s="2" t="s">
        <v>525</v>
      </c>
      <c r="K277" s="2">
        <v>155.16</v>
      </c>
      <c r="L277" s="2">
        <f>Table24[[#This Row],[QuantityInStock]]*Table24[[#This Row],[UnitCost]]</f>
        <v>10395.719999999999</v>
      </c>
    </row>
    <row r="278" spans="1:12" x14ac:dyDescent="0.3">
      <c r="A278" s="2" t="s">
        <v>285</v>
      </c>
      <c r="B278" s="2" t="s">
        <v>514</v>
      </c>
      <c r="C278" s="2" t="str">
        <f>_xlfn.XLOOKUP(Table24[[#This Row],[ProductName]],Table4[Product name],Table4[Category],"Not Found",0)</f>
        <v>Furniture</v>
      </c>
      <c r="D278" s="2">
        <v>23</v>
      </c>
      <c r="E278" s="2">
        <v>66</v>
      </c>
      <c r="F278" s="2" t="str" cm="1">
        <f t="array" ref="F278">_xlfn.IFS(Table24[[#This Row],[QuantityInStock]]&lt;=Table24[[#This Row],[ReorderPoint]],"Low Stock",Table24[[#This Row],[QuantityInStock]]&gt;Table24[[#This Row],[ReorderPoint]],"Adequate Stock",Table24[[#This Row],[QuantityInStock]]=0,"Out Of Stock")</f>
        <v>Low Stock</v>
      </c>
      <c r="G278" s="2" t="s">
        <v>517</v>
      </c>
      <c r="H278" s="2" t="s">
        <v>521</v>
      </c>
      <c r="I278" s="2">
        <v>3</v>
      </c>
      <c r="J278" s="2" t="s">
        <v>528</v>
      </c>
      <c r="K278" s="2">
        <v>126.67</v>
      </c>
      <c r="L278" s="2">
        <f>Table24[[#This Row],[QuantityInStock]]*Table24[[#This Row],[UnitCost]]</f>
        <v>2913.41</v>
      </c>
    </row>
    <row r="279" spans="1:12" x14ac:dyDescent="0.3">
      <c r="A279" s="2" t="s">
        <v>286</v>
      </c>
      <c r="B279" s="2" t="s">
        <v>509</v>
      </c>
      <c r="C279" s="2" t="str">
        <f>_xlfn.XLOOKUP(Table24[[#This Row],[ProductName]],Table4[Product name],Table4[Category],"Not Found",0)</f>
        <v>Electronics</v>
      </c>
      <c r="D279" s="2">
        <v>425</v>
      </c>
      <c r="E279" s="2">
        <v>78</v>
      </c>
      <c r="F279" s="2" t="str" cm="1">
        <f t="array" ref="F279">_xlfn.IFS(Table24[[#This Row],[QuantityInStock]]&lt;=Table24[[#This Row],[ReorderPoint]],"Low Stock",Table24[[#This Row],[QuantityInStock]]&gt;Table24[[#This Row],[ReorderPoint]],"Adequate Stock",Table24[[#This Row],[QuantityInStock]]=0,"Out Of Stock")</f>
        <v>Adequate Stock</v>
      </c>
      <c r="G279" s="2" t="s">
        <v>518</v>
      </c>
      <c r="H279" s="2" t="s">
        <v>522</v>
      </c>
      <c r="I279" s="2">
        <v>10</v>
      </c>
      <c r="J279" s="2" t="s">
        <v>526</v>
      </c>
      <c r="K279" s="2">
        <v>184.33</v>
      </c>
      <c r="L279" s="2">
        <f>Table24[[#This Row],[QuantityInStock]]*Table24[[#This Row],[UnitCost]]</f>
        <v>78340.25</v>
      </c>
    </row>
    <row r="280" spans="1:12" x14ac:dyDescent="0.3">
      <c r="A280" s="2" t="s">
        <v>287</v>
      </c>
      <c r="B280" s="2" t="s">
        <v>510</v>
      </c>
      <c r="C280" s="2" t="str">
        <f>_xlfn.XLOOKUP(Table24[[#This Row],[ProductName]],Table4[Product name],Table4[Category],"Not Found",0)</f>
        <v>Electronics</v>
      </c>
      <c r="D280" s="2">
        <v>172</v>
      </c>
      <c r="E280" s="2">
        <v>62</v>
      </c>
      <c r="F280" s="2" t="str" cm="1">
        <f t="array" ref="F280">_xlfn.IFS(Table24[[#This Row],[QuantityInStock]]&lt;=Table24[[#This Row],[ReorderPoint]],"Low Stock",Table24[[#This Row],[QuantityInStock]]&gt;Table24[[#This Row],[ReorderPoint]],"Adequate Stock",Table24[[#This Row],[QuantityInStock]]=0,"Out Of Stock")</f>
        <v>Adequate Stock</v>
      </c>
      <c r="G280" s="2" t="s">
        <v>518</v>
      </c>
      <c r="H280" s="2" t="s">
        <v>522</v>
      </c>
      <c r="I280" s="2">
        <v>15</v>
      </c>
      <c r="J280" s="2" t="s">
        <v>527</v>
      </c>
      <c r="K280" s="2">
        <v>42.52</v>
      </c>
      <c r="L280" s="2">
        <f>Table24[[#This Row],[QuantityInStock]]*Table24[[#This Row],[UnitCost]]</f>
        <v>7313.4400000000005</v>
      </c>
    </row>
    <row r="281" spans="1:12" x14ac:dyDescent="0.3">
      <c r="A281" s="2" t="s">
        <v>288</v>
      </c>
      <c r="B281" s="2" t="s">
        <v>509</v>
      </c>
      <c r="C281" s="2" t="str">
        <f>_xlfn.XLOOKUP(Table24[[#This Row],[ProductName]],Table4[Product name],Table4[Category],"Not Found",0)</f>
        <v>Electronics</v>
      </c>
      <c r="D281" s="2">
        <v>364</v>
      </c>
      <c r="E281" s="2">
        <v>50</v>
      </c>
      <c r="F281" s="2" t="str" cm="1">
        <f t="array" ref="F281">_xlfn.IFS(Table24[[#This Row],[QuantityInStock]]&lt;=Table24[[#This Row],[ReorderPoint]],"Low Stock",Table24[[#This Row],[QuantityInStock]]&gt;Table24[[#This Row],[ReorderPoint]],"Adequate Stock",Table24[[#This Row],[QuantityInStock]]=0,"Out Of Stock")</f>
        <v>Adequate Stock</v>
      </c>
      <c r="G281" s="2" t="s">
        <v>517</v>
      </c>
      <c r="H281" s="2" t="s">
        <v>521</v>
      </c>
      <c r="I281" s="2">
        <v>11</v>
      </c>
      <c r="J281" s="2" t="s">
        <v>528</v>
      </c>
      <c r="K281" s="2">
        <v>165.7</v>
      </c>
      <c r="L281" s="2">
        <f>Table24[[#This Row],[QuantityInStock]]*Table24[[#This Row],[UnitCost]]</f>
        <v>60314.799999999996</v>
      </c>
    </row>
    <row r="282" spans="1:12" x14ac:dyDescent="0.3">
      <c r="A282" s="2" t="s">
        <v>289</v>
      </c>
      <c r="B282" s="2" t="s">
        <v>511</v>
      </c>
      <c r="C282" s="2" t="str">
        <f>_xlfn.XLOOKUP(Table24[[#This Row],[ProductName]],Table4[Product name],Table4[Category],"Not Found",0)</f>
        <v>Electronics</v>
      </c>
      <c r="D282" s="2">
        <v>291</v>
      </c>
      <c r="E282" s="2">
        <v>44</v>
      </c>
      <c r="F282" s="2" t="str" cm="1">
        <f t="array" ref="F282">_xlfn.IFS(Table24[[#This Row],[QuantityInStock]]&lt;=Table24[[#This Row],[ReorderPoint]],"Low Stock",Table24[[#This Row],[QuantityInStock]]&gt;Table24[[#This Row],[ReorderPoint]],"Adequate Stock",Table24[[#This Row],[QuantityInStock]]=0,"Out Of Stock")</f>
        <v>Adequate Stock</v>
      </c>
      <c r="G282" s="2" t="s">
        <v>516</v>
      </c>
      <c r="H282" s="2" t="s">
        <v>520</v>
      </c>
      <c r="I282" s="2">
        <v>21</v>
      </c>
      <c r="J282" s="2" t="s">
        <v>526</v>
      </c>
      <c r="K282" s="2">
        <v>161.43</v>
      </c>
      <c r="L282" s="2">
        <f>Table24[[#This Row],[QuantityInStock]]*Table24[[#This Row],[UnitCost]]</f>
        <v>46976.130000000005</v>
      </c>
    </row>
    <row r="283" spans="1:12" x14ac:dyDescent="0.3">
      <c r="A283" s="2" t="s">
        <v>290</v>
      </c>
      <c r="B283" s="2" t="s">
        <v>510</v>
      </c>
      <c r="C283" s="2" t="str">
        <f>_xlfn.XLOOKUP(Table24[[#This Row],[ProductName]],Table4[Product name],Table4[Category],"Not Found",0)</f>
        <v>Electronics</v>
      </c>
      <c r="D283" s="2">
        <v>220</v>
      </c>
      <c r="E283" s="2">
        <v>36</v>
      </c>
      <c r="F283" s="2" t="str" cm="1">
        <f t="array" ref="F283">_xlfn.IFS(Table24[[#This Row],[QuantityInStock]]&lt;=Table24[[#This Row],[ReorderPoint]],"Low Stock",Table24[[#This Row],[QuantityInStock]]&gt;Table24[[#This Row],[ReorderPoint]],"Adequate Stock",Table24[[#This Row],[QuantityInStock]]=0,"Out Of Stock")</f>
        <v>Adequate Stock</v>
      </c>
      <c r="G283" s="2" t="s">
        <v>519</v>
      </c>
      <c r="H283" s="2" t="s">
        <v>523</v>
      </c>
      <c r="I283" s="2">
        <v>15</v>
      </c>
      <c r="J283" s="2" t="s">
        <v>527</v>
      </c>
      <c r="K283" s="2">
        <v>126.97</v>
      </c>
      <c r="L283" s="2">
        <f>Table24[[#This Row],[QuantityInStock]]*Table24[[#This Row],[UnitCost]]</f>
        <v>27933.4</v>
      </c>
    </row>
    <row r="284" spans="1:12" x14ac:dyDescent="0.3">
      <c r="A284" s="2" t="s">
        <v>291</v>
      </c>
      <c r="B284" s="2" t="s">
        <v>510</v>
      </c>
      <c r="C284" s="2" t="str">
        <f>_xlfn.XLOOKUP(Table24[[#This Row],[ProductName]],Table4[Product name],Table4[Category],"Not Found",0)</f>
        <v>Electronics</v>
      </c>
      <c r="D284" s="2">
        <v>275</v>
      </c>
      <c r="E284" s="2">
        <v>38</v>
      </c>
      <c r="F284" s="2" t="str" cm="1">
        <f t="array" ref="F284">_xlfn.IFS(Table24[[#This Row],[QuantityInStock]]&lt;=Table24[[#This Row],[ReorderPoint]],"Low Stock",Table24[[#This Row],[QuantityInStock]]&gt;Table24[[#This Row],[ReorderPoint]],"Adequate Stock",Table24[[#This Row],[QuantityInStock]]=0,"Out Of Stock")</f>
        <v>Adequate Stock</v>
      </c>
      <c r="G284" s="2" t="s">
        <v>517</v>
      </c>
      <c r="H284" s="2" t="s">
        <v>521</v>
      </c>
      <c r="I284" s="2">
        <v>21</v>
      </c>
      <c r="J284" s="2" t="s">
        <v>524</v>
      </c>
      <c r="K284" s="2">
        <v>87.66</v>
      </c>
      <c r="L284" s="2">
        <f>Table24[[#This Row],[QuantityInStock]]*Table24[[#This Row],[UnitCost]]</f>
        <v>24106.5</v>
      </c>
    </row>
    <row r="285" spans="1:12" x14ac:dyDescent="0.3">
      <c r="A285" s="2" t="s">
        <v>292</v>
      </c>
      <c r="B285" s="2" t="s">
        <v>515</v>
      </c>
      <c r="C285" s="2" t="str">
        <f>_xlfn.XLOOKUP(Table24[[#This Row],[ProductName]],Table4[Product name],Table4[Category],"Not Found",0)</f>
        <v>Electronics</v>
      </c>
      <c r="D285" s="2">
        <v>101</v>
      </c>
      <c r="E285" s="2">
        <v>81</v>
      </c>
      <c r="F285" s="2" t="str" cm="1">
        <f t="array" ref="F285">_xlfn.IFS(Table24[[#This Row],[QuantityInStock]]&lt;=Table24[[#This Row],[ReorderPoint]],"Low Stock",Table24[[#This Row],[QuantityInStock]]&gt;Table24[[#This Row],[ReorderPoint]],"Adequate Stock",Table24[[#This Row],[QuantityInStock]]=0,"Out Of Stock")</f>
        <v>Adequate Stock</v>
      </c>
      <c r="G285" s="2" t="s">
        <v>517</v>
      </c>
      <c r="H285" s="2" t="s">
        <v>521</v>
      </c>
      <c r="I285" s="2">
        <v>6</v>
      </c>
      <c r="J285" s="2" t="s">
        <v>528</v>
      </c>
      <c r="K285" s="2">
        <v>53.16</v>
      </c>
      <c r="L285" s="2">
        <f>Table24[[#This Row],[QuantityInStock]]*Table24[[#This Row],[UnitCost]]</f>
        <v>5369.16</v>
      </c>
    </row>
    <row r="286" spans="1:12" x14ac:dyDescent="0.3">
      <c r="A286" s="2" t="s">
        <v>293</v>
      </c>
      <c r="B286" s="2" t="s">
        <v>511</v>
      </c>
      <c r="C286" s="2" t="str">
        <f>_xlfn.XLOOKUP(Table24[[#This Row],[ProductName]],Table4[Product name],Table4[Category],"Not Found",0)</f>
        <v>Electronics</v>
      </c>
      <c r="D286" s="2">
        <v>19</v>
      </c>
      <c r="E286" s="2">
        <v>100</v>
      </c>
      <c r="F286" s="2" t="str" cm="1">
        <f t="array" ref="F286">_xlfn.IFS(Table24[[#This Row],[QuantityInStock]]&lt;=Table24[[#This Row],[ReorderPoint]],"Low Stock",Table24[[#This Row],[QuantityInStock]]&gt;Table24[[#This Row],[ReorderPoint]],"Adequate Stock",Table24[[#This Row],[QuantityInStock]]=0,"Out Of Stock")</f>
        <v>Low Stock</v>
      </c>
      <c r="G286" s="2" t="s">
        <v>519</v>
      </c>
      <c r="H286" s="2" t="s">
        <v>523</v>
      </c>
      <c r="I286" s="2">
        <v>11</v>
      </c>
      <c r="J286" s="2" t="s">
        <v>527</v>
      </c>
      <c r="K286" s="2">
        <v>172.82</v>
      </c>
      <c r="L286" s="2">
        <f>Table24[[#This Row],[QuantityInStock]]*Table24[[#This Row],[UnitCost]]</f>
        <v>3283.58</v>
      </c>
    </row>
    <row r="287" spans="1:12" x14ac:dyDescent="0.3">
      <c r="A287" s="2" t="s">
        <v>294</v>
      </c>
      <c r="B287" s="2" t="s">
        <v>511</v>
      </c>
      <c r="C287" s="2" t="str">
        <f>_xlfn.XLOOKUP(Table24[[#This Row],[ProductName]],Table4[Product name],Table4[Category],"Not Found",0)</f>
        <v>Electronics</v>
      </c>
      <c r="D287" s="2">
        <v>294</v>
      </c>
      <c r="E287" s="2">
        <v>78</v>
      </c>
      <c r="F287" s="2" t="str" cm="1">
        <f t="array" ref="F287">_xlfn.IFS(Table24[[#This Row],[QuantityInStock]]&lt;=Table24[[#This Row],[ReorderPoint]],"Low Stock",Table24[[#This Row],[QuantityInStock]]&gt;Table24[[#This Row],[ReorderPoint]],"Adequate Stock",Table24[[#This Row],[QuantityInStock]]=0,"Out Of Stock")</f>
        <v>Adequate Stock</v>
      </c>
      <c r="G287" s="2" t="s">
        <v>519</v>
      </c>
      <c r="H287" s="2" t="s">
        <v>523</v>
      </c>
      <c r="I287" s="2">
        <v>13</v>
      </c>
      <c r="J287" s="2" t="s">
        <v>525</v>
      </c>
      <c r="K287" s="2">
        <v>87.86</v>
      </c>
      <c r="L287" s="2">
        <f>Table24[[#This Row],[QuantityInStock]]*Table24[[#This Row],[UnitCost]]</f>
        <v>25830.84</v>
      </c>
    </row>
    <row r="288" spans="1:12" x14ac:dyDescent="0.3">
      <c r="A288" s="2" t="s">
        <v>295</v>
      </c>
      <c r="B288" s="2" t="s">
        <v>509</v>
      </c>
      <c r="C288" s="2" t="str">
        <f>_xlfn.XLOOKUP(Table24[[#This Row],[ProductName]],Table4[Product name],Table4[Category],"Not Found",0)</f>
        <v>Electronics</v>
      </c>
      <c r="D288" s="2">
        <v>217</v>
      </c>
      <c r="E288" s="2">
        <v>20</v>
      </c>
      <c r="F288" s="2" t="str" cm="1">
        <f t="array" ref="F288">_xlfn.IFS(Table24[[#This Row],[QuantityInStock]]&lt;=Table24[[#This Row],[ReorderPoint]],"Low Stock",Table24[[#This Row],[QuantityInStock]]&gt;Table24[[#This Row],[ReorderPoint]],"Adequate Stock",Table24[[#This Row],[QuantityInStock]]=0,"Out Of Stock")</f>
        <v>Adequate Stock</v>
      </c>
      <c r="G288" s="2" t="s">
        <v>519</v>
      </c>
      <c r="H288" s="2" t="s">
        <v>523</v>
      </c>
      <c r="I288" s="2">
        <v>17</v>
      </c>
      <c r="J288" s="2" t="s">
        <v>526</v>
      </c>
      <c r="K288" s="2">
        <v>21.52</v>
      </c>
      <c r="L288" s="2">
        <f>Table24[[#This Row],[QuantityInStock]]*Table24[[#This Row],[UnitCost]]</f>
        <v>4669.84</v>
      </c>
    </row>
    <row r="289" spans="1:12" x14ac:dyDescent="0.3">
      <c r="A289" s="2" t="s">
        <v>296</v>
      </c>
      <c r="B289" s="2" t="s">
        <v>514</v>
      </c>
      <c r="C289" s="2" t="str">
        <f>_xlfn.XLOOKUP(Table24[[#This Row],[ProductName]],Table4[Product name],Table4[Category],"Not Found",0)</f>
        <v>Furniture</v>
      </c>
      <c r="D289" s="2">
        <v>368</v>
      </c>
      <c r="E289" s="2">
        <v>59</v>
      </c>
      <c r="F289" s="2" t="str" cm="1">
        <f t="array" ref="F289">_xlfn.IFS(Table24[[#This Row],[QuantityInStock]]&lt;=Table24[[#This Row],[ReorderPoint]],"Low Stock",Table24[[#This Row],[QuantityInStock]]&gt;Table24[[#This Row],[ReorderPoint]],"Adequate Stock",Table24[[#This Row],[QuantityInStock]]=0,"Out Of Stock")</f>
        <v>Adequate Stock</v>
      </c>
      <c r="G289" s="2" t="s">
        <v>516</v>
      </c>
      <c r="H289" s="2" t="s">
        <v>520</v>
      </c>
      <c r="I289" s="2">
        <v>11</v>
      </c>
      <c r="J289" s="2" t="s">
        <v>527</v>
      </c>
      <c r="K289" s="2">
        <v>80.069999999999993</v>
      </c>
      <c r="L289" s="2">
        <f>Table24[[#This Row],[QuantityInStock]]*Table24[[#This Row],[UnitCost]]</f>
        <v>29465.759999999998</v>
      </c>
    </row>
    <row r="290" spans="1:12" x14ac:dyDescent="0.3">
      <c r="A290" s="2" t="s">
        <v>297</v>
      </c>
      <c r="B290" s="2" t="s">
        <v>512</v>
      </c>
      <c r="C290" s="2" t="str">
        <f>_xlfn.XLOOKUP(Table24[[#This Row],[ProductName]],Table4[Product name],Table4[Category],"Not Found",0)</f>
        <v>Furniture</v>
      </c>
      <c r="D290" s="2">
        <v>486</v>
      </c>
      <c r="E290" s="2">
        <v>34</v>
      </c>
      <c r="F290" s="2" t="str" cm="1">
        <f t="array" ref="F290">_xlfn.IFS(Table24[[#This Row],[QuantityInStock]]&lt;=Table24[[#This Row],[ReorderPoint]],"Low Stock",Table24[[#This Row],[QuantityInStock]]&gt;Table24[[#This Row],[ReorderPoint]],"Adequate Stock",Table24[[#This Row],[QuantityInStock]]=0,"Out Of Stock")</f>
        <v>Adequate Stock</v>
      </c>
      <c r="G290" s="2" t="s">
        <v>517</v>
      </c>
      <c r="H290" s="2" t="s">
        <v>521</v>
      </c>
      <c r="I290" s="2">
        <v>12</v>
      </c>
      <c r="J290" s="2" t="s">
        <v>524</v>
      </c>
      <c r="K290" s="2">
        <v>85.9</v>
      </c>
      <c r="L290" s="2">
        <f>Table24[[#This Row],[QuantityInStock]]*Table24[[#This Row],[UnitCost]]</f>
        <v>41747.4</v>
      </c>
    </row>
    <row r="291" spans="1:12" x14ac:dyDescent="0.3">
      <c r="A291" s="2" t="s">
        <v>298</v>
      </c>
      <c r="B291" s="2" t="s">
        <v>511</v>
      </c>
      <c r="C291" s="2" t="str">
        <f>_xlfn.XLOOKUP(Table24[[#This Row],[ProductName]],Table4[Product name],Table4[Category],"Not Found",0)</f>
        <v>Electronics</v>
      </c>
      <c r="D291" s="2">
        <v>96</v>
      </c>
      <c r="E291" s="2">
        <v>44</v>
      </c>
      <c r="F291" s="2" t="str" cm="1">
        <f t="array" ref="F291">_xlfn.IFS(Table24[[#This Row],[QuantityInStock]]&lt;=Table24[[#This Row],[ReorderPoint]],"Low Stock",Table24[[#This Row],[QuantityInStock]]&gt;Table24[[#This Row],[ReorderPoint]],"Adequate Stock",Table24[[#This Row],[QuantityInStock]]=0,"Out Of Stock")</f>
        <v>Adequate Stock</v>
      </c>
      <c r="G291" s="2" t="s">
        <v>519</v>
      </c>
      <c r="H291" s="2" t="s">
        <v>523</v>
      </c>
      <c r="I291" s="2">
        <v>15</v>
      </c>
      <c r="J291" s="2" t="s">
        <v>527</v>
      </c>
      <c r="K291" s="2">
        <v>86.87</v>
      </c>
      <c r="L291" s="2">
        <f>Table24[[#This Row],[QuantityInStock]]*Table24[[#This Row],[UnitCost]]</f>
        <v>8339.52</v>
      </c>
    </row>
    <row r="292" spans="1:12" x14ac:dyDescent="0.3">
      <c r="A292" s="2" t="s">
        <v>299</v>
      </c>
      <c r="B292" s="2" t="s">
        <v>514</v>
      </c>
      <c r="C292" s="2" t="str">
        <f>_xlfn.XLOOKUP(Table24[[#This Row],[ProductName]],Table4[Product name],Table4[Category],"Not Found",0)</f>
        <v>Furniture</v>
      </c>
      <c r="D292" s="2">
        <v>100</v>
      </c>
      <c r="E292" s="2">
        <v>87</v>
      </c>
      <c r="F292" s="2" t="str" cm="1">
        <f t="array" ref="F292">_xlfn.IFS(Table24[[#This Row],[QuantityInStock]]&lt;=Table24[[#This Row],[ReorderPoint]],"Low Stock",Table24[[#This Row],[QuantityInStock]]&gt;Table24[[#This Row],[ReorderPoint]],"Adequate Stock",Table24[[#This Row],[QuantityInStock]]=0,"Out Of Stock")</f>
        <v>Adequate Stock</v>
      </c>
      <c r="G292" s="2" t="s">
        <v>517</v>
      </c>
      <c r="H292" s="2" t="s">
        <v>521</v>
      </c>
      <c r="I292" s="2">
        <v>15</v>
      </c>
      <c r="J292" s="2" t="s">
        <v>524</v>
      </c>
      <c r="K292" s="2">
        <v>145.15</v>
      </c>
      <c r="L292" s="2">
        <f>Table24[[#This Row],[QuantityInStock]]*Table24[[#This Row],[UnitCost]]</f>
        <v>14515</v>
      </c>
    </row>
    <row r="293" spans="1:12" x14ac:dyDescent="0.3">
      <c r="A293" s="2" t="s">
        <v>300</v>
      </c>
      <c r="B293" s="2" t="s">
        <v>513</v>
      </c>
      <c r="C293" s="2" t="str">
        <f>_xlfn.XLOOKUP(Table24[[#This Row],[ProductName]],Table4[Product name],Table4[Category],"Not Found",0)</f>
        <v>Electronics</v>
      </c>
      <c r="D293" s="2">
        <v>286</v>
      </c>
      <c r="E293" s="2">
        <v>70</v>
      </c>
      <c r="F293" s="2" t="str" cm="1">
        <f t="array" ref="F293">_xlfn.IFS(Table24[[#This Row],[QuantityInStock]]&lt;=Table24[[#This Row],[ReorderPoint]],"Low Stock",Table24[[#This Row],[QuantityInStock]]&gt;Table24[[#This Row],[ReorderPoint]],"Adequate Stock",Table24[[#This Row],[QuantityInStock]]=0,"Out Of Stock")</f>
        <v>Adequate Stock</v>
      </c>
      <c r="G293" s="2" t="s">
        <v>519</v>
      </c>
      <c r="H293" s="2" t="s">
        <v>523</v>
      </c>
      <c r="I293" s="2">
        <v>9</v>
      </c>
      <c r="J293" s="2" t="s">
        <v>526</v>
      </c>
      <c r="K293" s="2">
        <v>94.73</v>
      </c>
      <c r="L293" s="2">
        <f>Table24[[#This Row],[QuantityInStock]]*Table24[[#This Row],[UnitCost]]</f>
        <v>27092.780000000002</v>
      </c>
    </row>
    <row r="294" spans="1:12" x14ac:dyDescent="0.3">
      <c r="A294" s="2" t="s">
        <v>301</v>
      </c>
      <c r="B294" s="2" t="s">
        <v>510</v>
      </c>
      <c r="C294" s="2" t="str">
        <f>_xlfn.XLOOKUP(Table24[[#This Row],[ProductName]],Table4[Product name],Table4[Category],"Not Found",0)</f>
        <v>Electronics</v>
      </c>
      <c r="D294" s="2">
        <v>282</v>
      </c>
      <c r="E294" s="2">
        <v>74</v>
      </c>
      <c r="F294" s="2" t="str" cm="1">
        <f t="array" ref="F294">_xlfn.IFS(Table24[[#This Row],[QuantityInStock]]&lt;=Table24[[#This Row],[ReorderPoint]],"Low Stock",Table24[[#This Row],[QuantityInStock]]&gt;Table24[[#This Row],[ReorderPoint]],"Adequate Stock",Table24[[#This Row],[QuantityInStock]]=0,"Out Of Stock")</f>
        <v>Adequate Stock</v>
      </c>
      <c r="G294" s="2" t="s">
        <v>518</v>
      </c>
      <c r="H294" s="2" t="s">
        <v>522</v>
      </c>
      <c r="I294" s="2">
        <v>6</v>
      </c>
      <c r="J294" s="2" t="s">
        <v>528</v>
      </c>
      <c r="K294" s="2">
        <v>26.62</v>
      </c>
      <c r="L294" s="2">
        <f>Table24[[#This Row],[QuantityInStock]]*Table24[[#This Row],[UnitCost]]</f>
        <v>7506.84</v>
      </c>
    </row>
    <row r="295" spans="1:12" x14ac:dyDescent="0.3">
      <c r="A295" s="2" t="s">
        <v>302</v>
      </c>
      <c r="B295" s="2" t="s">
        <v>509</v>
      </c>
      <c r="C295" s="2" t="str">
        <f>_xlfn.XLOOKUP(Table24[[#This Row],[ProductName]],Table4[Product name],Table4[Category],"Not Found",0)</f>
        <v>Electronics</v>
      </c>
      <c r="D295" s="2">
        <v>407</v>
      </c>
      <c r="E295" s="2">
        <v>97</v>
      </c>
      <c r="F295" s="2" t="str" cm="1">
        <f t="array" ref="F295">_xlfn.IFS(Table24[[#This Row],[QuantityInStock]]&lt;=Table24[[#This Row],[ReorderPoint]],"Low Stock",Table24[[#This Row],[QuantityInStock]]&gt;Table24[[#This Row],[ReorderPoint]],"Adequate Stock",Table24[[#This Row],[QuantityInStock]]=0,"Out Of Stock")</f>
        <v>Adequate Stock</v>
      </c>
      <c r="G295" s="2" t="s">
        <v>516</v>
      </c>
      <c r="H295" s="2" t="s">
        <v>520</v>
      </c>
      <c r="I295" s="2">
        <v>4</v>
      </c>
      <c r="J295" s="2" t="s">
        <v>528</v>
      </c>
      <c r="K295" s="2">
        <v>33.81</v>
      </c>
      <c r="L295" s="2">
        <f>Table24[[#This Row],[QuantityInStock]]*Table24[[#This Row],[UnitCost]]</f>
        <v>13760.67</v>
      </c>
    </row>
    <row r="296" spans="1:12" x14ac:dyDescent="0.3">
      <c r="A296" s="2" t="s">
        <v>303</v>
      </c>
      <c r="B296" s="2" t="s">
        <v>513</v>
      </c>
      <c r="C296" s="2" t="str">
        <f>_xlfn.XLOOKUP(Table24[[#This Row],[ProductName]],Table4[Product name],Table4[Category],"Not Found",0)</f>
        <v>Electronics</v>
      </c>
      <c r="D296" s="2">
        <v>248</v>
      </c>
      <c r="E296" s="2">
        <v>71</v>
      </c>
      <c r="F296" s="2" t="str" cm="1">
        <f t="array" ref="F296">_xlfn.IFS(Table24[[#This Row],[QuantityInStock]]&lt;=Table24[[#This Row],[ReorderPoint]],"Low Stock",Table24[[#This Row],[QuantityInStock]]&gt;Table24[[#This Row],[ReorderPoint]],"Adequate Stock",Table24[[#This Row],[QuantityInStock]]=0,"Out Of Stock")</f>
        <v>Adequate Stock</v>
      </c>
      <c r="G296" s="2" t="s">
        <v>517</v>
      </c>
      <c r="H296" s="2" t="s">
        <v>521</v>
      </c>
      <c r="I296" s="2">
        <v>15</v>
      </c>
      <c r="J296" s="2" t="s">
        <v>528</v>
      </c>
      <c r="K296" s="2">
        <v>13.94</v>
      </c>
      <c r="L296" s="2">
        <f>Table24[[#This Row],[QuantityInStock]]*Table24[[#This Row],[UnitCost]]</f>
        <v>3457.12</v>
      </c>
    </row>
    <row r="297" spans="1:12" x14ac:dyDescent="0.3">
      <c r="A297" s="2" t="s">
        <v>304</v>
      </c>
      <c r="B297" s="2" t="s">
        <v>513</v>
      </c>
      <c r="C297" s="2" t="str">
        <f>_xlfn.XLOOKUP(Table24[[#This Row],[ProductName]],Table4[Product name],Table4[Category],"Not Found",0)</f>
        <v>Electronics</v>
      </c>
      <c r="D297" s="2">
        <v>285</v>
      </c>
      <c r="E297" s="2">
        <v>47</v>
      </c>
      <c r="F297" s="2" t="str" cm="1">
        <f t="array" ref="F297">_xlfn.IFS(Table24[[#This Row],[QuantityInStock]]&lt;=Table24[[#This Row],[ReorderPoint]],"Low Stock",Table24[[#This Row],[QuantityInStock]]&gt;Table24[[#This Row],[ReorderPoint]],"Adequate Stock",Table24[[#This Row],[QuantityInStock]]=0,"Out Of Stock")</f>
        <v>Adequate Stock</v>
      </c>
      <c r="G297" s="2" t="s">
        <v>517</v>
      </c>
      <c r="H297" s="2" t="s">
        <v>521</v>
      </c>
      <c r="I297" s="2">
        <v>17</v>
      </c>
      <c r="J297" s="2" t="s">
        <v>524</v>
      </c>
      <c r="K297" s="2">
        <v>55.89</v>
      </c>
      <c r="L297" s="2">
        <f>Table24[[#This Row],[QuantityInStock]]*Table24[[#This Row],[UnitCost]]</f>
        <v>15928.65</v>
      </c>
    </row>
    <row r="298" spans="1:12" x14ac:dyDescent="0.3">
      <c r="A298" s="2" t="s">
        <v>305</v>
      </c>
      <c r="B298" s="2" t="s">
        <v>510</v>
      </c>
      <c r="C298" s="2" t="str">
        <f>_xlfn.XLOOKUP(Table24[[#This Row],[ProductName]],Table4[Product name],Table4[Category],"Not Found",0)</f>
        <v>Electronics</v>
      </c>
      <c r="D298" s="2">
        <v>227</v>
      </c>
      <c r="E298" s="2">
        <v>59</v>
      </c>
      <c r="F298" s="2" t="str" cm="1">
        <f t="array" ref="F298">_xlfn.IFS(Table24[[#This Row],[QuantityInStock]]&lt;=Table24[[#This Row],[ReorderPoint]],"Low Stock",Table24[[#This Row],[QuantityInStock]]&gt;Table24[[#This Row],[ReorderPoint]],"Adequate Stock",Table24[[#This Row],[QuantityInStock]]=0,"Out Of Stock")</f>
        <v>Adequate Stock</v>
      </c>
      <c r="G298" s="2" t="s">
        <v>519</v>
      </c>
      <c r="H298" s="2" t="s">
        <v>523</v>
      </c>
      <c r="I298" s="2">
        <v>4</v>
      </c>
      <c r="J298" s="2" t="s">
        <v>528</v>
      </c>
      <c r="K298" s="2">
        <v>146.75</v>
      </c>
      <c r="L298" s="2">
        <f>Table24[[#This Row],[QuantityInStock]]*Table24[[#This Row],[UnitCost]]</f>
        <v>33312.25</v>
      </c>
    </row>
    <row r="299" spans="1:12" x14ac:dyDescent="0.3">
      <c r="A299" s="2" t="s">
        <v>306</v>
      </c>
      <c r="B299" s="2" t="s">
        <v>513</v>
      </c>
      <c r="C299" s="2" t="str">
        <f>_xlfn.XLOOKUP(Table24[[#This Row],[ProductName]],Table4[Product name],Table4[Category],"Not Found",0)</f>
        <v>Electronics</v>
      </c>
      <c r="D299" s="2">
        <v>430</v>
      </c>
      <c r="E299" s="2">
        <v>31</v>
      </c>
      <c r="F299" s="2" t="str" cm="1">
        <f t="array" ref="F299">_xlfn.IFS(Table24[[#This Row],[QuantityInStock]]&lt;=Table24[[#This Row],[ReorderPoint]],"Low Stock",Table24[[#This Row],[QuantityInStock]]&gt;Table24[[#This Row],[ReorderPoint]],"Adequate Stock",Table24[[#This Row],[QuantityInStock]]=0,"Out Of Stock")</f>
        <v>Adequate Stock</v>
      </c>
      <c r="G299" s="2" t="s">
        <v>516</v>
      </c>
      <c r="H299" s="2" t="s">
        <v>520</v>
      </c>
      <c r="I299" s="2">
        <v>14</v>
      </c>
      <c r="J299" s="2" t="s">
        <v>528</v>
      </c>
      <c r="K299" s="2">
        <v>83.2</v>
      </c>
      <c r="L299" s="2">
        <f>Table24[[#This Row],[QuantityInStock]]*Table24[[#This Row],[UnitCost]]</f>
        <v>35776</v>
      </c>
    </row>
    <row r="300" spans="1:12" x14ac:dyDescent="0.3">
      <c r="A300" s="2" t="s">
        <v>307</v>
      </c>
      <c r="B300" s="2" t="s">
        <v>513</v>
      </c>
      <c r="C300" s="2" t="str">
        <f>_xlfn.XLOOKUP(Table24[[#This Row],[ProductName]],Table4[Product name],Table4[Category],"Not Found",0)</f>
        <v>Electronics</v>
      </c>
      <c r="D300" s="2">
        <v>495</v>
      </c>
      <c r="E300" s="2">
        <v>91</v>
      </c>
      <c r="F300" s="2" t="str" cm="1">
        <f t="array" ref="F300">_xlfn.IFS(Table24[[#This Row],[QuantityInStock]]&lt;=Table24[[#This Row],[ReorderPoint]],"Low Stock",Table24[[#This Row],[QuantityInStock]]&gt;Table24[[#This Row],[ReorderPoint]],"Adequate Stock",Table24[[#This Row],[QuantityInStock]]=0,"Out Of Stock")</f>
        <v>Adequate Stock</v>
      </c>
      <c r="G300" s="2" t="s">
        <v>516</v>
      </c>
      <c r="H300" s="2" t="s">
        <v>520</v>
      </c>
      <c r="I300" s="2">
        <v>7</v>
      </c>
      <c r="J300" s="2" t="s">
        <v>526</v>
      </c>
      <c r="K300" s="2">
        <v>56.63</v>
      </c>
      <c r="L300" s="2">
        <f>Table24[[#This Row],[QuantityInStock]]*Table24[[#This Row],[UnitCost]]</f>
        <v>28031.850000000002</v>
      </c>
    </row>
    <row r="301" spans="1:12" x14ac:dyDescent="0.3">
      <c r="A301" s="2" t="s">
        <v>308</v>
      </c>
      <c r="B301" s="2" t="s">
        <v>510</v>
      </c>
      <c r="C301" s="2" t="str">
        <f>_xlfn.XLOOKUP(Table24[[#This Row],[ProductName]],Table4[Product name],Table4[Category],"Not Found",0)</f>
        <v>Electronics</v>
      </c>
      <c r="D301" s="2">
        <v>50</v>
      </c>
      <c r="E301" s="2">
        <v>47</v>
      </c>
      <c r="F301" s="2" t="str" cm="1">
        <f t="array" ref="F301">_xlfn.IFS(Table24[[#This Row],[QuantityInStock]]&lt;=Table24[[#This Row],[ReorderPoint]],"Low Stock",Table24[[#This Row],[QuantityInStock]]&gt;Table24[[#This Row],[ReorderPoint]],"Adequate Stock",Table24[[#This Row],[QuantityInStock]]=0,"Out Of Stock")</f>
        <v>Adequate Stock</v>
      </c>
      <c r="G301" s="2" t="s">
        <v>516</v>
      </c>
      <c r="H301" s="2" t="s">
        <v>520</v>
      </c>
      <c r="I301" s="2">
        <v>13</v>
      </c>
      <c r="J301" s="2" t="s">
        <v>526</v>
      </c>
      <c r="K301" s="2">
        <v>175.1</v>
      </c>
      <c r="L301" s="2">
        <f>Table24[[#This Row],[QuantityInStock]]*Table24[[#This Row],[UnitCost]]</f>
        <v>8755</v>
      </c>
    </row>
    <row r="302" spans="1:12" x14ac:dyDescent="0.3">
      <c r="A302" s="2" t="s">
        <v>309</v>
      </c>
      <c r="B302" s="2" t="s">
        <v>513</v>
      </c>
      <c r="C302" s="2" t="str">
        <f>_xlfn.XLOOKUP(Table24[[#This Row],[ProductName]],Table4[Product name],Table4[Category],"Not Found",0)</f>
        <v>Electronics</v>
      </c>
      <c r="D302" s="2">
        <v>356</v>
      </c>
      <c r="E302" s="2">
        <v>29</v>
      </c>
      <c r="F302" s="2" t="str" cm="1">
        <f t="array" ref="F302">_xlfn.IFS(Table24[[#This Row],[QuantityInStock]]&lt;=Table24[[#This Row],[ReorderPoint]],"Low Stock",Table24[[#This Row],[QuantityInStock]]&gt;Table24[[#This Row],[ReorderPoint]],"Adequate Stock",Table24[[#This Row],[QuantityInStock]]=0,"Out Of Stock")</f>
        <v>Adequate Stock</v>
      </c>
      <c r="G302" s="2" t="s">
        <v>516</v>
      </c>
      <c r="H302" s="2" t="s">
        <v>520</v>
      </c>
      <c r="I302" s="2">
        <v>11</v>
      </c>
      <c r="J302" s="2" t="s">
        <v>524</v>
      </c>
      <c r="K302" s="2">
        <v>171.48</v>
      </c>
      <c r="L302" s="2">
        <f>Table24[[#This Row],[QuantityInStock]]*Table24[[#This Row],[UnitCost]]</f>
        <v>61046.879999999997</v>
      </c>
    </row>
    <row r="303" spans="1:12" x14ac:dyDescent="0.3">
      <c r="A303" s="2" t="s">
        <v>310</v>
      </c>
      <c r="B303" s="2" t="s">
        <v>515</v>
      </c>
      <c r="C303" s="2" t="str">
        <f>_xlfn.XLOOKUP(Table24[[#This Row],[ProductName]],Table4[Product name],Table4[Category],"Not Found",0)</f>
        <v>Electronics</v>
      </c>
      <c r="D303" s="2">
        <v>115</v>
      </c>
      <c r="E303" s="2">
        <v>32</v>
      </c>
      <c r="F303" s="2" t="str" cm="1">
        <f t="array" ref="F303">_xlfn.IFS(Table24[[#This Row],[QuantityInStock]]&lt;=Table24[[#This Row],[ReorderPoint]],"Low Stock",Table24[[#This Row],[QuantityInStock]]&gt;Table24[[#This Row],[ReorderPoint]],"Adequate Stock",Table24[[#This Row],[QuantityInStock]]=0,"Out Of Stock")</f>
        <v>Adequate Stock</v>
      </c>
      <c r="G303" s="2" t="s">
        <v>519</v>
      </c>
      <c r="H303" s="2" t="s">
        <v>523</v>
      </c>
      <c r="I303" s="2">
        <v>21</v>
      </c>
      <c r="J303" s="2" t="s">
        <v>524</v>
      </c>
      <c r="K303" s="2">
        <v>187.89</v>
      </c>
      <c r="L303" s="2">
        <f>Table24[[#This Row],[QuantityInStock]]*Table24[[#This Row],[UnitCost]]</f>
        <v>21607.35</v>
      </c>
    </row>
    <row r="304" spans="1:12" x14ac:dyDescent="0.3">
      <c r="A304" s="2" t="s">
        <v>311</v>
      </c>
      <c r="B304" s="2" t="s">
        <v>512</v>
      </c>
      <c r="C304" s="2" t="str">
        <f>_xlfn.XLOOKUP(Table24[[#This Row],[ProductName]],Table4[Product name],Table4[Category],"Not Found",0)</f>
        <v>Furniture</v>
      </c>
      <c r="D304" s="2">
        <v>307</v>
      </c>
      <c r="E304" s="2">
        <v>29</v>
      </c>
      <c r="F304" s="2" t="str" cm="1">
        <f t="array" ref="F304">_xlfn.IFS(Table24[[#This Row],[QuantityInStock]]&lt;=Table24[[#This Row],[ReorderPoint]],"Low Stock",Table24[[#This Row],[QuantityInStock]]&gt;Table24[[#This Row],[ReorderPoint]],"Adequate Stock",Table24[[#This Row],[QuantityInStock]]=0,"Out Of Stock")</f>
        <v>Adequate Stock</v>
      </c>
      <c r="G304" s="2" t="s">
        <v>519</v>
      </c>
      <c r="H304" s="2" t="s">
        <v>523</v>
      </c>
      <c r="I304" s="2">
        <v>7</v>
      </c>
      <c r="J304" s="2" t="s">
        <v>524</v>
      </c>
      <c r="K304" s="2">
        <v>27.86</v>
      </c>
      <c r="L304" s="2">
        <f>Table24[[#This Row],[QuantityInStock]]*Table24[[#This Row],[UnitCost]]</f>
        <v>8553.02</v>
      </c>
    </row>
    <row r="305" spans="1:12" x14ac:dyDescent="0.3">
      <c r="A305" s="2" t="s">
        <v>312</v>
      </c>
      <c r="B305" s="2" t="s">
        <v>511</v>
      </c>
      <c r="C305" s="2" t="str">
        <f>_xlfn.XLOOKUP(Table24[[#This Row],[ProductName]],Table4[Product name],Table4[Category],"Not Found",0)</f>
        <v>Electronics</v>
      </c>
      <c r="D305" s="2">
        <v>469</v>
      </c>
      <c r="E305" s="2">
        <v>45</v>
      </c>
      <c r="F305" s="2" t="str" cm="1">
        <f t="array" ref="F305">_xlfn.IFS(Table24[[#This Row],[QuantityInStock]]&lt;=Table24[[#This Row],[ReorderPoint]],"Low Stock",Table24[[#This Row],[QuantityInStock]]&gt;Table24[[#This Row],[ReorderPoint]],"Adequate Stock",Table24[[#This Row],[QuantityInStock]]=0,"Out Of Stock")</f>
        <v>Adequate Stock</v>
      </c>
      <c r="G305" s="2" t="s">
        <v>516</v>
      </c>
      <c r="H305" s="2" t="s">
        <v>520</v>
      </c>
      <c r="I305" s="2">
        <v>18</v>
      </c>
      <c r="J305" s="2" t="s">
        <v>524</v>
      </c>
      <c r="K305" s="2">
        <v>146.4</v>
      </c>
      <c r="L305" s="2">
        <f>Table24[[#This Row],[QuantityInStock]]*Table24[[#This Row],[UnitCost]]</f>
        <v>68661.600000000006</v>
      </c>
    </row>
    <row r="306" spans="1:12" x14ac:dyDescent="0.3">
      <c r="A306" s="2" t="s">
        <v>313</v>
      </c>
      <c r="B306" s="2" t="s">
        <v>515</v>
      </c>
      <c r="C306" s="2" t="str">
        <f>_xlfn.XLOOKUP(Table24[[#This Row],[ProductName]],Table4[Product name],Table4[Category],"Not Found",0)</f>
        <v>Electronics</v>
      </c>
      <c r="D306" s="2">
        <v>338</v>
      </c>
      <c r="E306" s="2">
        <v>81</v>
      </c>
      <c r="F306" s="2" t="str" cm="1">
        <f t="array" ref="F306">_xlfn.IFS(Table24[[#This Row],[QuantityInStock]]&lt;=Table24[[#This Row],[ReorderPoint]],"Low Stock",Table24[[#This Row],[QuantityInStock]]&gt;Table24[[#This Row],[ReorderPoint]],"Adequate Stock",Table24[[#This Row],[QuantityInStock]]=0,"Out Of Stock")</f>
        <v>Adequate Stock</v>
      </c>
      <c r="G306" s="2" t="s">
        <v>516</v>
      </c>
      <c r="H306" s="2" t="s">
        <v>520</v>
      </c>
      <c r="I306" s="2">
        <v>3</v>
      </c>
      <c r="J306" s="2" t="s">
        <v>525</v>
      </c>
      <c r="K306" s="2">
        <v>179.36</v>
      </c>
      <c r="L306" s="2">
        <f>Table24[[#This Row],[QuantityInStock]]*Table24[[#This Row],[UnitCost]]</f>
        <v>60623.680000000008</v>
      </c>
    </row>
    <row r="307" spans="1:12" x14ac:dyDescent="0.3">
      <c r="A307" s="2" t="s">
        <v>314</v>
      </c>
      <c r="B307" s="2" t="s">
        <v>509</v>
      </c>
      <c r="C307" s="2" t="str">
        <f>_xlfn.XLOOKUP(Table24[[#This Row],[ProductName]],Table4[Product name],Table4[Category],"Not Found",0)</f>
        <v>Electronics</v>
      </c>
      <c r="D307" s="2">
        <v>407</v>
      </c>
      <c r="E307" s="2">
        <v>63</v>
      </c>
      <c r="F307" s="2" t="str" cm="1">
        <f t="array" ref="F307">_xlfn.IFS(Table24[[#This Row],[QuantityInStock]]&lt;=Table24[[#This Row],[ReorderPoint]],"Low Stock",Table24[[#This Row],[QuantityInStock]]&gt;Table24[[#This Row],[ReorderPoint]],"Adequate Stock",Table24[[#This Row],[QuantityInStock]]=0,"Out Of Stock")</f>
        <v>Adequate Stock</v>
      </c>
      <c r="G307" s="2" t="s">
        <v>518</v>
      </c>
      <c r="H307" s="2" t="s">
        <v>522</v>
      </c>
      <c r="I307" s="2">
        <v>17</v>
      </c>
      <c r="J307" s="2" t="s">
        <v>527</v>
      </c>
      <c r="K307" s="2">
        <v>104.59</v>
      </c>
      <c r="L307" s="2">
        <f>Table24[[#This Row],[QuantityInStock]]*Table24[[#This Row],[UnitCost]]</f>
        <v>42568.130000000005</v>
      </c>
    </row>
    <row r="308" spans="1:12" x14ac:dyDescent="0.3">
      <c r="A308" s="2" t="s">
        <v>315</v>
      </c>
      <c r="B308" s="2" t="s">
        <v>515</v>
      </c>
      <c r="C308" s="2" t="str">
        <f>_xlfn.XLOOKUP(Table24[[#This Row],[ProductName]],Table4[Product name],Table4[Category],"Not Found",0)</f>
        <v>Electronics</v>
      </c>
      <c r="D308" s="2">
        <v>230</v>
      </c>
      <c r="E308" s="2">
        <v>87</v>
      </c>
      <c r="F308" s="2" t="str" cm="1">
        <f t="array" ref="F308">_xlfn.IFS(Table24[[#This Row],[QuantityInStock]]&lt;=Table24[[#This Row],[ReorderPoint]],"Low Stock",Table24[[#This Row],[QuantityInStock]]&gt;Table24[[#This Row],[ReorderPoint]],"Adequate Stock",Table24[[#This Row],[QuantityInStock]]=0,"Out Of Stock")</f>
        <v>Adequate Stock</v>
      </c>
      <c r="G308" s="2" t="s">
        <v>519</v>
      </c>
      <c r="H308" s="2" t="s">
        <v>523</v>
      </c>
      <c r="I308" s="2">
        <v>11</v>
      </c>
      <c r="J308" s="2" t="s">
        <v>526</v>
      </c>
      <c r="K308" s="2">
        <v>27.43</v>
      </c>
      <c r="L308" s="2">
        <f>Table24[[#This Row],[QuantityInStock]]*Table24[[#This Row],[UnitCost]]</f>
        <v>6308.9</v>
      </c>
    </row>
    <row r="309" spans="1:12" x14ac:dyDescent="0.3">
      <c r="A309" s="2" t="s">
        <v>316</v>
      </c>
      <c r="B309" s="2" t="s">
        <v>514</v>
      </c>
      <c r="C309" s="2" t="str">
        <f>_xlfn.XLOOKUP(Table24[[#This Row],[ProductName]],Table4[Product name],Table4[Category],"Not Found",0)</f>
        <v>Furniture</v>
      </c>
      <c r="D309" s="2">
        <v>323</v>
      </c>
      <c r="E309" s="2">
        <v>63</v>
      </c>
      <c r="F309" s="2" t="str" cm="1">
        <f t="array" ref="F309">_xlfn.IFS(Table24[[#This Row],[QuantityInStock]]&lt;=Table24[[#This Row],[ReorderPoint]],"Low Stock",Table24[[#This Row],[QuantityInStock]]&gt;Table24[[#This Row],[ReorderPoint]],"Adequate Stock",Table24[[#This Row],[QuantityInStock]]=0,"Out Of Stock")</f>
        <v>Adequate Stock</v>
      </c>
      <c r="G309" s="2" t="s">
        <v>516</v>
      </c>
      <c r="H309" s="2" t="s">
        <v>520</v>
      </c>
      <c r="I309" s="2">
        <v>16</v>
      </c>
      <c r="J309" s="2" t="s">
        <v>525</v>
      </c>
      <c r="K309" s="2">
        <v>152.49</v>
      </c>
      <c r="L309" s="2">
        <f>Table24[[#This Row],[QuantityInStock]]*Table24[[#This Row],[UnitCost]]</f>
        <v>49254.270000000004</v>
      </c>
    </row>
    <row r="310" spans="1:12" x14ac:dyDescent="0.3">
      <c r="A310" s="2" t="s">
        <v>317</v>
      </c>
      <c r="B310" s="2" t="s">
        <v>511</v>
      </c>
      <c r="C310" s="2" t="str">
        <f>_xlfn.XLOOKUP(Table24[[#This Row],[ProductName]],Table4[Product name],Table4[Category],"Not Found",0)</f>
        <v>Electronics</v>
      </c>
      <c r="D310" s="2">
        <v>427</v>
      </c>
      <c r="E310" s="2">
        <v>41</v>
      </c>
      <c r="F310" s="2" t="str" cm="1">
        <f t="array" ref="F310">_xlfn.IFS(Table24[[#This Row],[QuantityInStock]]&lt;=Table24[[#This Row],[ReorderPoint]],"Low Stock",Table24[[#This Row],[QuantityInStock]]&gt;Table24[[#This Row],[ReorderPoint]],"Adequate Stock",Table24[[#This Row],[QuantityInStock]]=0,"Out Of Stock")</f>
        <v>Adequate Stock</v>
      </c>
      <c r="G310" s="2" t="s">
        <v>517</v>
      </c>
      <c r="H310" s="2" t="s">
        <v>521</v>
      </c>
      <c r="I310" s="2">
        <v>16</v>
      </c>
      <c r="J310" s="2" t="s">
        <v>525</v>
      </c>
      <c r="K310" s="2">
        <v>199.34</v>
      </c>
      <c r="L310" s="2">
        <f>Table24[[#This Row],[QuantityInStock]]*Table24[[#This Row],[UnitCost]]</f>
        <v>85118.180000000008</v>
      </c>
    </row>
    <row r="311" spans="1:12" x14ac:dyDescent="0.3">
      <c r="A311" s="2" t="s">
        <v>318</v>
      </c>
      <c r="B311" s="2" t="s">
        <v>515</v>
      </c>
      <c r="C311" s="2" t="str">
        <f>_xlfn.XLOOKUP(Table24[[#This Row],[ProductName]],Table4[Product name],Table4[Category],"Not Found",0)</f>
        <v>Electronics</v>
      </c>
      <c r="D311" s="2">
        <v>390</v>
      </c>
      <c r="E311" s="2">
        <v>73</v>
      </c>
      <c r="F311" s="2" t="str" cm="1">
        <f t="array" ref="F311">_xlfn.IFS(Table24[[#This Row],[QuantityInStock]]&lt;=Table24[[#This Row],[ReorderPoint]],"Low Stock",Table24[[#This Row],[QuantityInStock]]&gt;Table24[[#This Row],[ReorderPoint]],"Adequate Stock",Table24[[#This Row],[QuantityInStock]]=0,"Out Of Stock")</f>
        <v>Adequate Stock</v>
      </c>
      <c r="G311" s="2" t="s">
        <v>518</v>
      </c>
      <c r="H311" s="2" t="s">
        <v>522</v>
      </c>
      <c r="I311" s="2">
        <v>6</v>
      </c>
      <c r="J311" s="2" t="s">
        <v>527</v>
      </c>
      <c r="K311" s="2">
        <v>48.68</v>
      </c>
      <c r="L311" s="2">
        <f>Table24[[#This Row],[QuantityInStock]]*Table24[[#This Row],[UnitCost]]</f>
        <v>18985.2</v>
      </c>
    </row>
    <row r="312" spans="1:12" x14ac:dyDescent="0.3">
      <c r="A312" s="2" t="s">
        <v>319</v>
      </c>
      <c r="B312" s="2" t="s">
        <v>515</v>
      </c>
      <c r="C312" s="2" t="str">
        <f>_xlfn.XLOOKUP(Table24[[#This Row],[ProductName]],Table4[Product name],Table4[Category],"Not Found",0)</f>
        <v>Electronics</v>
      </c>
      <c r="D312" s="2">
        <v>117</v>
      </c>
      <c r="E312" s="2">
        <v>40</v>
      </c>
      <c r="F312" s="2" t="str" cm="1">
        <f t="array" ref="F312">_xlfn.IFS(Table24[[#This Row],[QuantityInStock]]&lt;=Table24[[#This Row],[ReorderPoint]],"Low Stock",Table24[[#This Row],[QuantityInStock]]&gt;Table24[[#This Row],[ReorderPoint]],"Adequate Stock",Table24[[#This Row],[QuantityInStock]]=0,"Out Of Stock")</f>
        <v>Adequate Stock</v>
      </c>
      <c r="G312" s="2" t="s">
        <v>519</v>
      </c>
      <c r="H312" s="2" t="s">
        <v>523</v>
      </c>
      <c r="I312" s="2">
        <v>11</v>
      </c>
      <c r="J312" s="2" t="s">
        <v>527</v>
      </c>
      <c r="K312" s="2">
        <v>116.57</v>
      </c>
      <c r="L312" s="2">
        <f>Table24[[#This Row],[QuantityInStock]]*Table24[[#This Row],[UnitCost]]</f>
        <v>13638.689999999999</v>
      </c>
    </row>
    <row r="313" spans="1:12" x14ac:dyDescent="0.3">
      <c r="A313" s="2" t="s">
        <v>320</v>
      </c>
      <c r="B313" s="2" t="s">
        <v>511</v>
      </c>
      <c r="C313" s="2" t="str">
        <f>_xlfn.XLOOKUP(Table24[[#This Row],[ProductName]],Table4[Product name],Table4[Category],"Not Found",0)</f>
        <v>Electronics</v>
      </c>
      <c r="D313" s="2">
        <v>331</v>
      </c>
      <c r="E313" s="2">
        <v>81</v>
      </c>
      <c r="F313" s="2" t="str" cm="1">
        <f t="array" ref="F313">_xlfn.IFS(Table24[[#This Row],[QuantityInStock]]&lt;=Table24[[#This Row],[ReorderPoint]],"Low Stock",Table24[[#This Row],[QuantityInStock]]&gt;Table24[[#This Row],[ReorderPoint]],"Adequate Stock",Table24[[#This Row],[QuantityInStock]]=0,"Out Of Stock")</f>
        <v>Adequate Stock</v>
      </c>
      <c r="G313" s="2" t="s">
        <v>516</v>
      </c>
      <c r="H313" s="2" t="s">
        <v>520</v>
      </c>
      <c r="I313" s="2">
        <v>11</v>
      </c>
      <c r="J313" s="2" t="s">
        <v>524</v>
      </c>
      <c r="K313" s="2">
        <v>162.51</v>
      </c>
      <c r="L313" s="2">
        <f>Table24[[#This Row],[QuantityInStock]]*Table24[[#This Row],[UnitCost]]</f>
        <v>53790.81</v>
      </c>
    </row>
    <row r="314" spans="1:12" x14ac:dyDescent="0.3">
      <c r="A314" s="2" t="s">
        <v>321</v>
      </c>
      <c r="B314" s="2" t="s">
        <v>515</v>
      </c>
      <c r="C314" s="2" t="str">
        <f>_xlfn.XLOOKUP(Table24[[#This Row],[ProductName]],Table4[Product name],Table4[Category],"Not Found",0)</f>
        <v>Electronics</v>
      </c>
      <c r="D314" s="2">
        <v>500</v>
      </c>
      <c r="E314" s="2">
        <v>50</v>
      </c>
      <c r="F314" s="2" t="str" cm="1">
        <f t="array" ref="F314">_xlfn.IFS(Table24[[#This Row],[QuantityInStock]]&lt;=Table24[[#This Row],[ReorderPoint]],"Low Stock",Table24[[#This Row],[QuantityInStock]]&gt;Table24[[#This Row],[ReorderPoint]],"Adequate Stock",Table24[[#This Row],[QuantityInStock]]=0,"Out Of Stock")</f>
        <v>Adequate Stock</v>
      </c>
      <c r="G314" s="2" t="s">
        <v>516</v>
      </c>
      <c r="H314" s="2" t="s">
        <v>520</v>
      </c>
      <c r="I314" s="2">
        <v>21</v>
      </c>
      <c r="J314" s="2" t="s">
        <v>527</v>
      </c>
      <c r="K314" s="2">
        <v>49.58</v>
      </c>
      <c r="L314" s="2">
        <f>Table24[[#This Row],[QuantityInStock]]*Table24[[#This Row],[UnitCost]]</f>
        <v>24790</v>
      </c>
    </row>
    <row r="315" spans="1:12" x14ac:dyDescent="0.3">
      <c r="A315" s="2" t="s">
        <v>322</v>
      </c>
      <c r="B315" s="2" t="s">
        <v>511</v>
      </c>
      <c r="C315" s="2" t="str">
        <f>_xlfn.XLOOKUP(Table24[[#This Row],[ProductName]],Table4[Product name],Table4[Category],"Not Found",0)</f>
        <v>Electronics</v>
      </c>
      <c r="D315" s="2">
        <v>57</v>
      </c>
      <c r="E315" s="2">
        <v>89</v>
      </c>
      <c r="F315" s="2" t="str" cm="1">
        <f t="array" ref="F315">_xlfn.IFS(Table24[[#This Row],[QuantityInStock]]&lt;=Table24[[#This Row],[ReorderPoint]],"Low Stock",Table24[[#This Row],[QuantityInStock]]&gt;Table24[[#This Row],[ReorderPoint]],"Adequate Stock",Table24[[#This Row],[QuantityInStock]]=0,"Out Of Stock")</f>
        <v>Low Stock</v>
      </c>
      <c r="G315" s="2" t="s">
        <v>518</v>
      </c>
      <c r="H315" s="2" t="s">
        <v>522</v>
      </c>
      <c r="I315" s="2">
        <v>17</v>
      </c>
      <c r="J315" s="2" t="s">
        <v>526</v>
      </c>
      <c r="K315" s="2">
        <v>17.64</v>
      </c>
      <c r="L315" s="2">
        <f>Table24[[#This Row],[QuantityInStock]]*Table24[[#This Row],[UnitCost]]</f>
        <v>1005.48</v>
      </c>
    </row>
    <row r="316" spans="1:12" x14ac:dyDescent="0.3">
      <c r="A316" s="2" t="s">
        <v>323</v>
      </c>
      <c r="B316" s="2" t="s">
        <v>515</v>
      </c>
      <c r="C316" s="2" t="str">
        <f>_xlfn.XLOOKUP(Table24[[#This Row],[ProductName]],Table4[Product name],Table4[Category],"Not Found",0)</f>
        <v>Electronics</v>
      </c>
      <c r="D316" s="2">
        <v>102</v>
      </c>
      <c r="E316" s="2">
        <v>89</v>
      </c>
      <c r="F316" s="2" t="str" cm="1">
        <f t="array" ref="F316">_xlfn.IFS(Table24[[#This Row],[QuantityInStock]]&lt;=Table24[[#This Row],[ReorderPoint]],"Low Stock",Table24[[#This Row],[QuantityInStock]]&gt;Table24[[#This Row],[ReorderPoint]],"Adequate Stock",Table24[[#This Row],[QuantityInStock]]=0,"Out Of Stock")</f>
        <v>Adequate Stock</v>
      </c>
      <c r="G316" s="2" t="s">
        <v>516</v>
      </c>
      <c r="H316" s="2" t="s">
        <v>520</v>
      </c>
      <c r="I316" s="2">
        <v>19</v>
      </c>
      <c r="J316" s="2" t="s">
        <v>526</v>
      </c>
      <c r="K316" s="2">
        <v>31.12</v>
      </c>
      <c r="L316" s="2">
        <f>Table24[[#This Row],[QuantityInStock]]*Table24[[#This Row],[UnitCost]]</f>
        <v>3174.2400000000002</v>
      </c>
    </row>
    <row r="317" spans="1:12" x14ac:dyDescent="0.3">
      <c r="A317" s="2" t="s">
        <v>324</v>
      </c>
      <c r="B317" s="2" t="s">
        <v>510</v>
      </c>
      <c r="C317" s="2" t="str">
        <f>_xlfn.XLOOKUP(Table24[[#This Row],[ProductName]],Table4[Product name],Table4[Category],"Not Found",0)</f>
        <v>Electronics</v>
      </c>
      <c r="D317" s="2">
        <v>388</v>
      </c>
      <c r="E317" s="2">
        <v>81</v>
      </c>
      <c r="F317" s="2" t="str" cm="1">
        <f t="array" ref="F317">_xlfn.IFS(Table24[[#This Row],[QuantityInStock]]&lt;=Table24[[#This Row],[ReorderPoint]],"Low Stock",Table24[[#This Row],[QuantityInStock]]&gt;Table24[[#This Row],[ReorderPoint]],"Adequate Stock",Table24[[#This Row],[QuantityInStock]]=0,"Out Of Stock")</f>
        <v>Adequate Stock</v>
      </c>
      <c r="G317" s="2" t="s">
        <v>517</v>
      </c>
      <c r="H317" s="2" t="s">
        <v>521</v>
      </c>
      <c r="I317" s="2">
        <v>15</v>
      </c>
      <c r="J317" s="2" t="s">
        <v>525</v>
      </c>
      <c r="K317" s="2">
        <v>156.69999999999999</v>
      </c>
      <c r="L317" s="2">
        <f>Table24[[#This Row],[QuantityInStock]]*Table24[[#This Row],[UnitCost]]</f>
        <v>60799.6</v>
      </c>
    </row>
    <row r="318" spans="1:12" x14ac:dyDescent="0.3">
      <c r="A318" s="2" t="s">
        <v>325</v>
      </c>
      <c r="B318" s="2" t="s">
        <v>512</v>
      </c>
      <c r="C318" s="2" t="str">
        <f>_xlfn.XLOOKUP(Table24[[#This Row],[ProductName]],Table4[Product name],Table4[Category],"Not Found",0)</f>
        <v>Furniture</v>
      </c>
      <c r="D318" s="2">
        <v>120</v>
      </c>
      <c r="E318" s="2">
        <v>26</v>
      </c>
      <c r="F318" s="2" t="str" cm="1">
        <f t="array" ref="F318">_xlfn.IFS(Table24[[#This Row],[QuantityInStock]]&lt;=Table24[[#This Row],[ReorderPoint]],"Low Stock",Table24[[#This Row],[QuantityInStock]]&gt;Table24[[#This Row],[ReorderPoint]],"Adequate Stock",Table24[[#This Row],[QuantityInStock]]=0,"Out Of Stock")</f>
        <v>Adequate Stock</v>
      </c>
      <c r="G318" s="2" t="s">
        <v>518</v>
      </c>
      <c r="H318" s="2" t="s">
        <v>522</v>
      </c>
      <c r="I318" s="2">
        <v>18</v>
      </c>
      <c r="J318" s="2" t="s">
        <v>527</v>
      </c>
      <c r="K318" s="2">
        <v>169.54</v>
      </c>
      <c r="L318" s="2">
        <f>Table24[[#This Row],[QuantityInStock]]*Table24[[#This Row],[UnitCost]]</f>
        <v>20344.8</v>
      </c>
    </row>
    <row r="319" spans="1:12" x14ac:dyDescent="0.3">
      <c r="A319" s="2" t="s">
        <v>326</v>
      </c>
      <c r="B319" s="2" t="s">
        <v>515</v>
      </c>
      <c r="C319" s="2" t="str">
        <f>_xlfn.XLOOKUP(Table24[[#This Row],[ProductName]],Table4[Product name],Table4[Category],"Not Found",0)</f>
        <v>Electronics</v>
      </c>
      <c r="D319" s="2">
        <v>133</v>
      </c>
      <c r="E319" s="2">
        <v>92</v>
      </c>
      <c r="F319" s="2" t="str" cm="1">
        <f t="array" ref="F319">_xlfn.IFS(Table24[[#This Row],[QuantityInStock]]&lt;=Table24[[#This Row],[ReorderPoint]],"Low Stock",Table24[[#This Row],[QuantityInStock]]&gt;Table24[[#This Row],[ReorderPoint]],"Adequate Stock",Table24[[#This Row],[QuantityInStock]]=0,"Out Of Stock")</f>
        <v>Adequate Stock</v>
      </c>
      <c r="G319" s="2" t="s">
        <v>519</v>
      </c>
      <c r="H319" s="2" t="s">
        <v>523</v>
      </c>
      <c r="I319" s="2">
        <v>18</v>
      </c>
      <c r="J319" s="2" t="s">
        <v>524</v>
      </c>
      <c r="K319" s="2">
        <v>30.42</v>
      </c>
      <c r="L319" s="2">
        <f>Table24[[#This Row],[QuantityInStock]]*Table24[[#This Row],[UnitCost]]</f>
        <v>4045.86</v>
      </c>
    </row>
    <row r="320" spans="1:12" x14ac:dyDescent="0.3">
      <c r="A320" s="2" t="s">
        <v>327</v>
      </c>
      <c r="B320" s="2" t="s">
        <v>510</v>
      </c>
      <c r="C320" s="2" t="str">
        <f>_xlfn.XLOOKUP(Table24[[#This Row],[ProductName]],Table4[Product name],Table4[Category],"Not Found",0)</f>
        <v>Electronics</v>
      </c>
      <c r="D320" s="2">
        <v>52</v>
      </c>
      <c r="E320" s="2">
        <v>27</v>
      </c>
      <c r="F320" s="2" t="str" cm="1">
        <f t="array" ref="F320">_xlfn.IFS(Table24[[#This Row],[QuantityInStock]]&lt;=Table24[[#This Row],[ReorderPoint]],"Low Stock",Table24[[#This Row],[QuantityInStock]]&gt;Table24[[#This Row],[ReorderPoint]],"Adequate Stock",Table24[[#This Row],[QuantityInStock]]=0,"Out Of Stock")</f>
        <v>Adequate Stock</v>
      </c>
      <c r="G320" s="2" t="s">
        <v>516</v>
      </c>
      <c r="H320" s="2" t="s">
        <v>520</v>
      </c>
      <c r="I320" s="2">
        <v>5</v>
      </c>
      <c r="J320" s="2" t="s">
        <v>526</v>
      </c>
      <c r="K320" s="2">
        <v>114.05</v>
      </c>
      <c r="L320" s="2">
        <f>Table24[[#This Row],[QuantityInStock]]*Table24[[#This Row],[UnitCost]]</f>
        <v>5930.5999999999995</v>
      </c>
    </row>
    <row r="321" spans="1:12" x14ac:dyDescent="0.3">
      <c r="A321" s="2" t="s">
        <v>328</v>
      </c>
      <c r="B321" s="2" t="s">
        <v>513</v>
      </c>
      <c r="C321" s="2" t="str">
        <f>_xlfn.XLOOKUP(Table24[[#This Row],[ProductName]],Table4[Product name],Table4[Category],"Not Found",0)</f>
        <v>Electronics</v>
      </c>
      <c r="D321" s="2">
        <v>68</v>
      </c>
      <c r="E321" s="2">
        <v>46</v>
      </c>
      <c r="F321" s="2" t="str" cm="1">
        <f t="array" ref="F321">_xlfn.IFS(Table24[[#This Row],[QuantityInStock]]&lt;=Table24[[#This Row],[ReorderPoint]],"Low Stock",Table24[[#This Row],[QuantityInStock]]&gt;Table24[[#This Row],[ReorderPoint]],"Adequate Stock",Table24[[#This Row],[QuantityInStock]]=0,"Out Of Stock")</f>
        <v>Adequate Stock</v>
      </c>
      <c r="G321" s="2" t="s">
        <v>518</v>
      </c>
      <c r="H321" s="2" t="s">
        <v>522</v>
      </c>
      <c r="I321" s="2">
        <v>8</v>
      </c>
      <c r="J321" s="2" t="s">
        <v>525</v>
      </c>
      <c r="K321" s="2">
        <v>114.28</v>
      </c>
      <c r="L321" s="2">
        <f>Table24[[#This Row],[QuantityInStock]]*Table24[[#This Row],[UnitCost]]</f>
        <v>7771.04</v>
      </c>
    </row>
    <row r="322" spans="1:12" x14ac:dyDescent="0.3">
      <c r="A322" s="2" t="s">
        <v>329</v>
      </c>
      <c r="B322" s="2" t="s">
        <v>513</v>
      </c>
      <c r="C322" s="2" t="str">
        <f>_xlfn.XLOOKUP(Table24[[#This Row],[ProductName]],Table4[Product name],Table4[Category],"Not Found",0)</f>
        <v>Electronics</v>
      </c>
      <c r="D322" s="2">
        <v>125</v>
      </c>
      <c r="E322" s="2">
        <v>75</v>
      </c>
      <c r="F322" s="2" t="str" cm="1">
        <f t="array" ref="F322">_xlfn.IFS(Table24[[#This Row],[QuantityInStock]]&lt;=Table24[[#This Row],[ReorderPoint]],"Low Stock",Table24[[#This Row],[QuantityInStock]]&gt;Table24[[#This Row],[ReorderPoint]],"Adequate Stock",Table24[[#This Row],[QuantityInStock]]=0,"Out Of Stock")</f>
        <v>Adequate Stock</v>
      </c>
      <c r="G322" s="2" t="s">
        <v>519</v>
      </c>
      <c r="H322" s="2" t="s">
        <v>523</v>
      </c>
      <c r="I322" s="2">
        <v>3</v>
      </c>
      <c r="J322" s="2" t="s">
        <v>527</v>
      </c>
      <c r="K322" s="2">
        <v>19.350000000000001</v>
      </c>
      <c r="L322" s="2">
        <f>Table24[[#This Row],[QuantityInStock]]*Table24[[#This Row],[UnitCost]]</f>
        <v>2418.75</v>
      </c>
    </row>
    <row r="323" spans="1:12" x14ac:dyDescent="0.3">
      <c r="A323" s="2" t="s">
        <v>330</v>
      </c>
      <c r="B323" s="2" t="s">
        <v>510</v>
      </c>
      <c r="C323" s="2" t="str">
        <f>_xlfn.XLOOKUP(Table24[[#This Row],[ProductName]],Table4[Product name],Table4[Category],"Not Found",0)</f>
        <v>Electronics</v>
      </c>
      <c r="D323" s="2">
        <v>261</v>
      </c>
      <c r="E323" s="2">
        <v>32</v>
      </c>
      <c r="F323" s="2" t="str" cm="1">
        <f t="array" ref="F323">_xlfn.IFS(Table24[[#This Row],[QuantityInStock]]&lt;=Table24[[#This Row],[ReorderPoint]],"Low Stock",Table24[[#This Row],[QuantityInStock]]&gt;Table24[[#This Row],[ReorderPoint]],"Adequate Stock",Table24[[#This Row],[QuantityInStock]]=0,"Out Of Stock")</f>
        <v>Adequate Stock</v>
      </c>
      <c r="G323" s="2" t="s">
        <v>519</v>
      </c>
      <c r="H323" s="2" t="s">
        <v>523</v>
      </c>
      <c r="I323" s="2">
        <v>4</v>
      </c>
      <c r="J323" s="2" t="s">
        <v>525</v>
      </c>
      <c r="K323" s="2">
        <v>169.15</v>
      </c>
      <c r="L323" s="2">
        <f>Table24[[#This Row],[QuantityInStock]]*Table24[[#This Row],[UnitCost]]</f>
        <v>44148.15</v>
      </c>
    </row>
    <row r="324" spans="1:12" x14ac:dyDescent="0.3">
      <c r="A324" s="2" t="s">
        <v>331</v>
      </c>
      <c r="B324" s="2" t="s">
        <v>514</v>
      </c>
      <c r="C324" s="2" t="str">
        <f>_xlfn.XLOOKUP(Table24[[#This Row],[ProductName]],Table4[Product name],Table4[Category],"Not Found",0)</f>
        <v>Furniture</v>
      </c>
      <c r="D324" s="2">
        <v>218</v>
      </c>
      <c r="E324" s="2">
        <v>90</v>
      </c>
      <c r="F324" s="2" t="str" cm="1">
        <f t="array" ref="F324">_xlfn.IFS(Table24[[#This Row],[QuantityInStock]]&lt;=Table24[[#This Row],[ReorderPoint]],"Low Stock",Table24[[#This Row],[QuantityInStock]]&gt;Table24[[#This Row],[ReorderPoint]],"Adequate Stock",Table24[[#This Row],[QuantityInStock]]=0,"Out Of Stock")</f>
        <v>Adequate Stock</v>
      </c>
      <c r="G324" s="2" t="s">
        <v>517</v>
      </c>
      <c r="H324" s="2" t="s">
        <v>521</v>
      </c>
      <c r="I324" s="2">
        <v>9</v>
      </c>
      <c r="J324" s="2" t="s">
        <v>526</v>
      </c>
      <c r="K324" s="2">
        <v>114.43</v>
      </c>
      <c r="L324" s="2">
        <f>Table24[[#This Row],[QuantityInStock]]*Table24[[#This Row],[UnitCost]]</f>
        <v>24945.74</v>
      </c>
    </row>
    <row r="325" spans="1:12" x14ac:dyDescent="0.3">
      <c r="A325" s="2" t="s">
        <v>332</v>
      </c>
      <c r="B325" s="2" t="s">
        <v>514</v>
      </c>
      <c r="C325" s="2" t="str">
        <f>_xlfn.XLOOKUP(Table24[[#This Row],[ProductName]],Table4[Product name],Table4[Category],"Not Found",0)</f>
        <v>Furniture</v>
      </c>
      <c r="D325" s="2">
        <v>290</v>
      </c>
      <c r="E325" s="2">
        <v>99</v>
      </c>
      <c r="F325" s="2" t="str" cm="1">
        <f t="array" ref="F325">_xlfn.IFS(Table24[[#This Row],[QuantityInStock]]&lt;=Table24[[#This Row],[ReorderPoint]],"Low Stock",Table24[[#This Row],[QuantityInStock]]&gt;Table24[[#This Row],[ReorderPoint]],"Adequate Stock",Table24[[#This Row],[QuantityInStock]]=0,"Out Of Stock")</f>
        <v>Adequate Stock</v>
      </c>
      <c r="G325" s="2" t="s">
        <v>519</v>
      </c>
      <c r="H325" s="2" t="s">
        <v>523</v>
      </c>
      <c r="I325" s="2">
        <v>6</v>
      </c>
      <c r="J325" s="2" t="s">
        <v>524</v>
      </c>
      <c r="K325" s="2">
        <v>61.78</v>
      </c>
      <c r="L325" s="2">
        <f>Table24[[#This Row],[QuantityInStock]]*Table24[[#This Row],[UnitCost]]</f>
        <v>17916.2</v>
      </c>
    </row>
    <row r="326" spans="1:12" x14ac:dyDescent="0.3">
      <c r="A326" s="2" t="s">
        <v>333</v>
      </c>
      <c r="B326" s="2" t="s">
        <v>513</v>
      </c>
      <c r="C326" s="2" t="str">
        <f>_xlfn.XLOOKUP(Table24[[#This Row],[ProductName]],Table4[Product name],Table4[Category],"Not Found",0)</f>
        <v>Electronics</v>
      </c>
      <c r="D326" s="2">
        <v>48</v>
      </c>
      <c r="E326" s="2">
        <v>31</v>
      </c>
      <c r="F326" s="2" t="str" cm="1">
        <f t="array" ref="F326">_xlfn.IFS(Table24[[#This Row],[QuantityInStock]]&lt;=Table24[[#This Row],[ReorderPoint]],"Low Stock",Table24[[#This Row],[QuantityInStock]]&gt;Table24[[#This Row],[ReorderPoint]],"Adequate Stock",Table24[[#This Row],[QuantityInStock]]=0,"Out Of Stock")</f>
        <v>Adequate Stock</v>
      </c>
      <c r="G326" s="2" t="s">
        <v>518</v>
      </c>
      <c r="H326" s="2" t="s">
        <v>522</v>
      </c>
      <c r="I326" s="2">
        <v>12</v>
      </c>
      <c r="J326" s="2" t="s">
        <v>527</v>
      </c>
      <c r="K326" s="2">
        <v>165.02</v>
      </c>
      <c r="L326" s="2">
        <f>Table24[[#This Row],[QuantityInStock]]*Table24[[#This Row],[UnitCost]]</f>
        <v>7920.9600000000009</v>
      </c>
    </row>
    <row r="327" spans="1:12" x14ac:dyDescent="0.3">
      <c r="A327" s="2" t="s">
        <v>334</v>
      </c>
      <c r="B327" s="2" t="s">
        <v>514</v>
      </c>
      <c r="C327" s="2" t="str">
        <f>_xlfn.XLOOKUP(Table24[[#This Row],[ProductName]],Table4[Product name],Table4[Category],"Not Found",0)</f>
        <v>Furniture</v>
      </c>
      <c r="D327" s="2">
        <v>380</v>
      </c>
      <c r="E327" s="2">
        <v>50</v>
      </c>
      <c r="F327" s="2" t="str" cm="1">
        <f t="array" ref="F327">_xlfn.IFS(Table24[[#This Row],[QuantityInStock]]&lt;=Table24[[#This Row],[ReorderPoint]],"Low Stock",Table24[[#This Row],[QuantityInStock]]&gt;Table24[[#This Row],[ReorderPoint]],"Adequate Stock",Table24[[#This Row],[QuantityInStock]]=0,"Out Of Stock")</f>
        <v>Adequate Stock</v>
      </c>
      <c r="G327" s="2" t="s">
        <v>519</v>
      </c>
      <c r="H327" s="2" t="s">
        <v>523</v>
      </c>
      <c r="I327" s="2">
        <v>5</v>
      </c>
      <c r="J327" s="2" t="s">
        <v>525</v>
      </c>
      <c r="K327" s="2">
        <v>65.42</v>
      </c>
      <c r="L327" s="2">
        <f>Table24[[#This Row],[QuantityInStock]]*Table24[[#This Row],[UnitCost]]</f>
        <v>24859.600000000002</v>
      </c>
    </row>
    <row r="328" spans="1:12" x14ac:dyDescent="0.3">
      <c r="A328" s="2" t="s">
        <v>335</v>
      </c>
      <c r="B328" s="2" t="s">
        <v>510</v>
      </c>
      <c r="C328" s="2" t="str">
        <f>_xlfn.XLOOKUP(Table24[[#This Row],[ProductName]],Table4[Product name],Table4[Category],"Not Found",0)</f>
        <v>Electronics</v>
      </c>
      <c r="D328" s="2">
        <v>369</v>
      </c>
      <c r="E328" s="2">
        <v>53</v>
      </c>
      <c r="F328" s="2" t="str" cm="1">
        <f t="array" ref="F328">_xlfn.IFS(Table24[[#This Row],[QuantityInStock]]&lt;=Table24[[#This Row],[ReorderPoint]],"Low Stock",Table24[[#This Row],[QuantityInStock]]&gt;Table24[[#This Row],[ReorderPoint]],"Adequate Stock",Table24[[#This Row],[QuantityInStock]]=0,"Out Of Stock")</f>
        <v>Adequate Stock</v>
      </c>
      <c r="G328" s="2" t="s">
        <v>519</v>
      </c>
      <c r="H328" s="2" t="s">
        <v>523</v>
      </c>
      <c r="I328" s="2">
        <v>17</v>
      </c>
      <c r="J328" s="2" t="s">
        <v>528</v>
      </c>
      <c r="K328" s="2">
        <v>164.41</v>
      </c>
      <c r="L328" s="2">
        <f>Table24[[#This Row],[QuantityInStock]]*Table24[[#This Row],[UnitCost]]</f>
        <v>60667.29</v>
      </c>
    </row>
    <row r="329" spans="1:12" x14ac:dyDescent="0.3">
      <c r="A329" s="2" t="s">
        <v>336</v>
      </c>
      <c r="B329" s="2" t="s">
        <v>515</v>
      </c>
      <c r="C329" s="2" t="str">
        <f>_xlfn.XLOOKUP(Table24[[#This Row],[ProductName]],Table4[Product name],Table4[Category],"Not Found",0)</f>
        <v>Electronics</v>
      </c>
      <c r="D329" s="2">
        <v>119</v>
      </c>
      <c r="E329" s="2">
        <v>44</v>
      </c>
      <c r="F329" s="2" t="str" cm="1">
        <f t="array" ref="F329">_xlfn.IFS(Table24[[#This Row],[QuantityInStock]]&lt;=Table24[[#This Row],[ReorderPoint]],"Low Stock",Table24[[#This Row],[QuantityInStock]]&gt;Table24[[#This Row],[ReorderPoint]],"Adequate Stock",Table24[[#This Row],[QuantityInStock]]=0,"Out Of Stock")</f>
        <v>Adequate Stock</v>
      </c>
      <c r="G329" s="2" t="s">
        <v>519</v>
      </c>
      <c r="H329" s="2" t="s">
        <v>523</v>
      </c>
      <c r="I329" s="2">
        <v>17</v>
      </c>
      <c r="J329" s="2" t="s">
        <v>528</v>
      </c>
      <c r="K329" s="2">
        <v>25.82</v>
      </c>
      <c r="L329" s="2">
        <f>Table24[[#This Row],[QuantityInStock]]*Table24[[#This Row],[UnitCost]]</f>
        <v>3072.58</v>
      </c>
    </row>
    <row r="330" spans="1:12" x14ac:dyDescent="0.3">
      <c r="A330" s="2" t="s">
        <v>337</v>
      </c>
      <c r="B330" s="2" t="s">
        <v>512</v>
      </c>
      <c r="C330" s="2" t="str">
        <f>_xlfn.XLOOKUP(Table24[[#This Row],[ProductName]],Table4[Product name],Table4[Category],"Not Found",0)</f>
        <v>Furniture</v>
      </c>
      <c r="D330" s="2">
        <v>101</v>
      </c>
      <c r="E330" s="2">
        <v>38</v>
      </c>
      <c r="F330" s="2" t="str" cm="1">
        <f t="array" ref="F330">_xlfn.IFS(Table24[[#This Row],[QuantityInStock]]&lt;=Table24[[#This Row],[ReorderPoint]],"Low Stock",Table24[[#This Row],[QuantityInStock]]&gt;Table24[[#This Row],[ReorderPoint]],"Adequate Stock",Table24[[#This Row],[QuantityInStock]]=0,"Out Of Stock")</f>
        <v>Adequate Stock</v>
      </c>
      <c r="G330" s="2" t="s">
        <v>516</v>
      </c>
      <c r="H330" s="2" t="s">
        <v>520</v>
      </c>
      <c r="I330" s="2">
        <v>17</v>
      </c>
      <c r="J330" s="2" t="s">
        <v>528</v>
      </c>
      <c r="K330" s="2">
        <v>8.77</v>
      </c>
      <c r="L330" s="2">
        <f>Table24[[#This Row],[QuantityInStock]]*Table24[[#This Row],[UnitCost]]</f>
        <v>885.77</v>
      </c>
    </row>
    <row r="331" spans="1:12" x14ac:dyDescent="0.3">
      <c r="A331" s="2" t="s">
        <v>338</v>
      </c>
      <c r="B331" s="2" t="s">
        <v>511</v>
      </c>
      <c r="C331" s="2" t="str">
        <f>_xlfn.XLOOKUP(Table24[[#This Row],[ProductName]],Table4[Product name],Table4[Category],"Not Found",0)</f>
        <v>Electronics</v>
      </c>
      <c r="D331" s="2">
        <v>294</v>
      </c>
      <c r="E331" s="2">
        <v>47</v>
      </c>
      <c r="F331" s="2" t="str" cm="1">
        <f t="array" ref="F331">_xlfn.IFS(Table24[[#This Row],[QuantityInStock]]&lt;=Table24[[#This Row],[ReorderPoint]],"Low Stock",Table24[[#This Row],[QuantityInStock]]&gt;Table24[[#This Row],[ReorderPoint]],"Adequate Stock",Table24[[#This Row],[QuantityInStock]]=0,"Out Of Stock")</f>
        <v>Adequate Stock</v>
      </c>
      <c r="G331" s="2" t="s">
        <v>519</v>
      </c>
      <c r="H331" s="2" t="s">
        <v>523</v>
      </c>
      <c r="I331" s="2">
        <v>13</v>
      </c>
      <c r="J331" s="2" t="s">
        <v>525</v>
      </c>
      <c r="K331" s="2">
        <v>64.73</v>
      </c>
      <c r="L331" s="2">
        <f>Table24[[#This Row],[QuantityInStock]]*Table24[[#This Row],[UnitCost]]</f>
        <v>19030.620000000003</v>
      </c>
    </row>
    <row r="332" spans="1:12" x14ac:dyDescent="0.3">
      <c r="A332" s="2" t="s">
        <v>339</v>
      </c>
      <c r="B332" s="2" t="s">
        <v>514</v>
      </c>
      <c r="C332" s="2" t="str">
        <f>_xlfn.XLOOKUP(Table24[[#This Row],[ProductName]],Table4[Product name],Table4[Category],"Not Found",0)</f>
        <v>Furniture</v>
      </c>
      <c r="D332" s="2">
        <v>457</v>
      </c>
      <c r="E332" s="2">
        <v>51</v>
      </c>
      <c r="F332" s="2" t="str" cm="1">
        <f t="array" ref="F332">_xlfn.IFS(Table24[[#This Row],[QuantityInStock]]&lt;=Table24[[#This Row],[ReorderPoint]],"Low Stock",Table24[[#This Row],[QuantityInStock]]&gt;Table24[[#This Row],[ReorderPoint]],"Adequate Stock",Table24[[#This Row],[QuantityInStock]]=0,"Out Of Stock")</f>
        <v>Adequate Stock</v>
      </c>
      <c r="G332" s="2" t="s">
        <v>516</v>
      </c>
      <c r="H332" s="2" t="s">
        <v>520</v>
      </c>
      <c r="I332" s="2">
        <v>14</v>
      </c>
      <c r="J332" s="2" t="s">
        <v>525</v>
      </c>
      <c r="K332" s="2">
        <v>58.57</v>
      </c>
      <c r="L332" s="2">
        <f>Table24[[#This Row],[QuantityInStock]]*Table24[[#This Row],[UnitCost]]</f>
        <v>26766.49</v>
      </c>
    </row>
    <row r="333" spans="1:12" x14ac:dyDescent="0.3">
      <c r="A333" s="2" t="s">
        <v>340</v>
      </c>
      <c r="B333" s="2" t="s">
        <v>509</v>
      </c>
      <c r="C333" s="2" t="str">
        <f>_xlfn.XLOOKUP(Table24[[#This Row],[ProductName]],Table4[Product name],Table4[Category],"Not Found",0)</f>
        <v>Electronics</v>
      </c>
      <c r="D333" s="2">
        <v>386</v>
      </c>
      <c r="E333" s="2">
        <v>67</v>
      </c>
      <c r="F333" s="2" t="str" cm="1">
        <f t="array" ref="F333">_xlfn.IFS(Table24[[#This Row],[QuantityInStock]]&lt;=Table24[[#This Row],[ReorderPoint]],"Low Stock",Table24[[#This Row],[QuantityInStock]]&gt;Table24[[#This Row],[ReorderPoint]],"Adequate Stock",Table24[[#This Row],[QuantityInStock]]=0,"Out Of Stock")</f>
        <v>Adequate Stock</v>
      </c>
      <c r="G333" s="2" t="s">
        <v>519</v>
      </c>
      <c r="H333" s="2" t="s">
        <v>523</v>
      </c>
      <c r="I333" s="2">
        <v>10</v>
      </c>
      <c r="J333" s="2" t="s">
        <v>524</v>
      </c>
      <c r="K333" s="2">
        <v>78.09</v>
      </c>
      <c r="L333" s="2">
        <f>Table24[[#This Row],[QuantityInStock]]*Table24[[#This Row],[UnitCost]]</f>
        <v>30142.74</v>
      </c>
    </row>
    <row r="334" spans="1:12" x14ac:dyDescent="0.3">
      <c r="A334" s="2" t="s">
        <v>341</v>
      </c>
      <c r="B334" s="2" t="s">
        <v>513</v>
      </c>
      <c r="C334" s="2" t="str">
        <f>_xlfn.XLOOKUP(Table24[[#This Row],[ProductName]],Table4[Product name],Table4[Category],"Not Found",0)</f>
        <v>Electronics</v>
      </c>
      <c r="D334" s="2">
        <v>246</v>
      </c>
      <c r="E334" s="2">
        <v>52</v>
      </c>
      <c r="F334" s="2" t="str" cm="1">
        <f t="array" ref="F334">_xlfn.IFS(Table24[[#This Row],[QuantityInStock]]&lt;=Table24[[#This Row],[ReorderPoint]],"Low Stock",Table24[[#This Row],[QuantityInStock]]&gt;Table24[[#This Row],[ReorderPoint]],"Adequate Stock",Table24[[#This Row],[QuantityInStock]]=0,"Out Of Stock")</f>
        <v>Adequate Stock</v>
      </c>
      <c r="G334" s="2" t="s">
        <v>516</v>
      </c>
      <c r="H334" s="2" t="s">
        <v>520</v>
      </c>
      <c r="I334" s="2">
        <v>16</v>
      </c>
      <c r="J334" s="2" t="s">
        <v>527</v>
      </c>
      <c r="K334" s="2">
        <v>22.13</v>
      </c>
      <c r="L334" s="2">
        <f>Table24[[#This Row],[QuantityInStock]]*Table24[[#This Row],[UnitCost]]</f>
        <v>5443.98</v>
      </c>
    </row>
    <row r="335" spans="1:12" x14ac:dyDescent="0.3">
      <c r="A335" s="2" t="s">
        <v>342</v>
      </c>
      <c r="B335" s="2" t="s">
        <v>511</v>
      </c>
      <c r="C335" s="2" t="str">
        <f>_xlfn.XLOOKUP(Table24[[#This Row],[ProductName]],Table4[Product name],Table4[Category],"Not Found",0)</f>
        <v>Electronics</v>
      </c>
      <c r="D335" s="2">
        <v>103</v>
      </c>
      <c r="E335" s="2">
        <v>65</v>
      </c>
      <c r="F335" s="2" t="str" cm="1">
        <f t="array" ref="F335">_xlfn.IFS(Table24[[#This Row],[QuantityInStock]]&lt;=Table24[[#This Row],[ReorderPoint]],"Low Stock",Table24[[#This Row],[QuantityInStock]]&gt;Table24[[#This Row],[ReorderPoint]],"Adequate Stock",Table24[[#This Row],[QuantityInStock]]=0,"Out Of Stock")</f>
        <v>Adequate Stock</v>
      </c>
      <c r="G335" s="2" t="s">
        <v>516</v>
      </c>
      <c r="H335" s="2" t="s">
        <v>520</v>
      </c>
      <c r="I335" s="2">
        <v>19</v>
      </c>
      <c r="J335" s="2" t="s">
        <v>526</v>
      </c>
      <c r="K335" s="2">
        <v>87.99</v>
      </c>
      <c r="L335" s="2">
        <f>Table24[[#This Row],[QuantityInStock]]*Table24[[#This Row],[UnitCost]]</f>
        <v>9062.9699999999993</v>
      </c>
    </row>
    <row r="336" spans="1:12" x14ac:dyDescent="0.3">
      <c r="A336" s="2" t="s">
        <v>343</v>
      </c>
      <c r="B336" s="2" t="s">
        <v>510</v>
      </c>
      <c r="C336" s="2" t="str">
        <f>_xlfn.XLOOKUP(Table24[[#This Row],[ProductName]],Table4[Product name],Table4[Category],"Not Found",0)</f>
        <v>Electronics</v>
      </c>
      <c r="D336" s="2">
        <v>27</v>
      </c>
      <c r="E336" s="2">
        <v>74</v>
      </c>
      <c r="F336" s="2" t="str" cm="1">
        <f t="array" ref="F336">_xlfn.IFS(Table24[[#This Row],[QuantityInStock]]&lt;=Table24[[#This Row],[ReorderPoint]],"Low Stock",Table24[[#This Row],[QuantityInStock]]&gt;Table24[[#This Row],[ReorderPoint]],"Adequate Stock",Table24[[#This Row],[QuantityInStock]]=0,"Out Of Stock")</f>
        <v>Low Stock</v>
      </c>
      <c r="G336" s="2" t="s">
        <v>516</v>
      </c>
      <c r="H336" s="2" t="s">
        <v>520</v>
      </c>
      <c r="I336" s="2">
        <v>14</v>
      </c>
      <c r="J336" s="2" t="s">
        <v>524</v>
      </c>
      <c r="K336" s="2">
        <v>41.8</v>
      </c>
      <c r="L336" s="2">
        <f>Table24[[#This Row],[QuantityInStock]]*Table24[[#This Row],[UnitCost]]</f>
        <v>1128.5999999999999</v>
      </c>
    </row>
    <row r="337" spans="1:12" x14ac:dyDescent="0.3">
      <c r="A337" s="2" t="s">
        <v>344</v>
      </c>
      <c r="B337" s="2" t="s">
        <v>511</v>
      </c>
      <c r="C337" s="2" t="str">
        <f>_xlfn.XLOOKUP(Table24[[#This Row],[ProductName]],Table4[Product name],Table4[Category],"Not Found",0)</f>
        <v>Electronics</v>
      </c>
      <c r="D337" s="2">
        <v>145</v>
      </c>
      <c r="E337" s="2">
        <v>55</v>
      </c>
      <c r="F337" s="2" t="str" cm="1">
        <f t="array" ref="F337">_xlfn.IFS(Table24[[#This Row],[QuantityInStock]]&lt;=Table24[[#This Row],[ReorderPoint]],"Low Stock",Table24[[#This Row],[QuantityInStock]]&gt;Table24[[#This Row],[ReorderPoint]],"Adequate Stock",Table24[[#This Row],[QuantityInStock]]=0,"Out Of Stock")</f>
        <v>Adequate Stock</v>
      </c>
      <c r="G337" s="2" t="s">
        <v>516</v>
      </c>
      <c r="H337" s="2" t="s">
        <v>520</v>
      </c>
      <c r="I337" s="2">
        <v>19</v>
      </c>
      <c r="J337" s="2" t="s">
        <v>525</v>
      </c>
      <c r="K337" s="2">
        <v>87.22</v>
      </c>
      <c r="L337" s="2">
        <f>Table24[[#This Row],[QuantityInStock]]*Table24[[#This Row],[UnitCost]]</f>
        <v>12646.9</v>
      </c>
    </row>
    <row r="338" spans="1:12" x14ac:dyDescent="0.3">
      <c r="A338" s="2" t="s">
        <v>345</v>
      </c>
      <c r="B338" s="2" t="s">
        <v>512</v>
      </c>
      <c r="C338" s="2" t="str">
        <f>_xlfn.XLOOKUP(Table24[[#This Row],[ProductName]],Table4[Product name],Table4[Category],"Not Found",0)</f>
        <v>Furniture</v>
      </c>
      <c r="D338" s="2">
        <v>74</v>
      </c>
      <c r="E338" s="2">
        <v>98</v>
      </c>
      <c r="F338" s="2" t="str" cm="1">
        <f t="array" ref="F338">_xlfn.IFS(Table24[[#This Row],[QuantityInStock]]&lt;=Table24[[#This Row],[ReorderPoint]],"Low Stock",Table24[[#This Row],[QuantityInStock]]&gt;Table24[[#This Row],[ReorderPoint]],"Adequate Stock",Table24[[#This Row],[QuantityInStock]]=0,"Out Of Stock")</f>
        <v>Low Stock</v>
      </c>
      <c r="G338" s="2" t="s">
        <v>516</v>
      </c>
      <c r="H338" s="2" t="s">
        <v>520</v>
      </c>
      <c r="I338" s="2">
        <v>9</v>
      </c>
      <c r="J338" s="2" t="s">
        <v>524</v>
      </c>
      <c r="K338" s="2">
        <v>142.01</v>
      </c>
      <c r="L338" s="2">
        <f>Table24[[#This Row],[QuantityInStock]]*Table24[[#This Row],[UnitCost]]</f>
        <v>10508.74</v>
      </c>
    </row>
    <row r="339" spans="1:12" x14ac:dyDescent="0.3">
      <c r="A339" s="2" t="s">
        <v>346</v>
      </c>
      <c r="B339" s="2" t="s">
        <v>513</v>
      </c>
      <c r="C339" s="2" t="str">
        <f>_xlfn.XLOOKUP(Table24[[#This Row],[ProductName]],Table4[Product name],Table4[Category],"Not Found",0)</f>
        <v>Electronics</v>
      </c>
      <c r="D339" s="2">
        <v>297</v>
      </c>
      <c r="E339" s="2">
        <v>52</v>
      </c>
      <c r="F339" s="2" t="str" cm="1">
        <f t="array" ref="F339">_xlfn.IFS(Table24[[#This Row],[QuantityInStock]]&lt;=Table24[[#This Row],[ReorderPoint]],"Low Stock",Table24[[#This Row],[QuantityInStock]]&gt;Table24[[#This Row],[ReorderPoint]],"Adequate Stock",Table24[[#This Row],[QuantityInStock]]=0,"Out Of Stock")</f>
        <v>Adequate Stock</v>
      </c>
      <c r="G339" s="2" t="s">
        <v>518</v>
      </c>
      <c r="H339" s="2" t="s">
        <v>522</v>
      </c>
      <c r="I339" s="2">
        <v>5</v>
      </c>
      <c r="J339" s="2" t="s">
        <v>526</v>
      </c>
      <c r="K339" s="2">
        <v>13.98</v>
      </c>
      <c r="L339" s="2">
        <f>Table24[[#This Row],[QuantityInStock]]*Table24[[#This Row],[UnitCost]]</f>
        <v>4152.0600000000004</v>
      </c>
    </row>
    <row r="340" spans="1:12" x14ac:dyDescent="0.3">
      <c r="A340" s="2" t="s">
        <v>347</v>
      </c>
      <c r="B340" s="2" t="s">
        <v>509</v>
      </c>
      <c r="C340" s="2" t="str">
        <f>_xlfn.XLOOKUP(Table24[[#This Row],[ProductName]],Table4[Product name],Table4[Category],"Not Found",0)</f>
        <v>Electronics</v>
      </c>
      <c r="D340" s="2">
        <v>388</v>
      </c>
      <c r="E340" s="2">
        <v>99</v>
      </c>
      <c r="F340" s="2" t="str" cm="1">
        <f t="array" ref="F340">_xlfn.IFS(Table24[[#This Row],[QuantityInStock]]&lt;=Table24[[#This Row],[ReorderPoint]],"Low Stock",Table24[[#This Row],[QuantityInStock]]&gt;Table24[[#This Row],[ReorderPoint]],"Adequate Stock",Table24[[#This Row],[QuantityInStock]]=0,"Out Of Stock")</f>
        <v>Adequate Stock</v>
      </c>
      <c r="G340" s="2" t="s">
        <v>518</v>
      </c>
      <c r="H340" s="2" t="s">
        <v>522</v>
      </c>
      <c r="I340" s="2">
        <v>3</v>
      </c>
      <c r="J340" s="2" t="s">
        <v>525</v>
      </c>
      <c r="K340" s="2">
        <v>31.51</v>
      </c>
      <c r="L340" s="2">
        <f>Table24[[#This Row],[QuantityInStock]]*Table24[[#This Row],[UnitCost]]</f>
        <v>12225.880000000001</v>
      </c>
    </row>
    <row r="341" spans="1:12" x14ac:dyDescent="0.3">
      <c r="A341" s="2" t="s">
        <v>348</v>
      </c>
      <c r="B341" s="2" t="s">
        <v>512</v>
      </c>
      <c r="C341" s="2" t="str">
        <f>_xlfn.XLOOKUP(Table24[[#This Row],[ProductName]],Table4[Product name],Table4[Category],"Not Found",0)</f>
        <v>Furniture</v>
      </c>
      <c r="D341" s="2">
        <v>19</v>
      </c>
      <c r="E341" s="2">
        <v>93</v>
      </c>
      <c r="F341" s="2" t="str" cm="1">
        <f t="array" ref="F341">_xlfn.IFS(Table24[[#This Row],[QuantityInStock]]&lt;=Table24[[#This Row],[ReorderPoint]],"Low Stock",Table24[[#This Row],[QuantityInStock]]&gt;Table24[[#This Row],[ReorderPoint]],"Adequate Stock",Table24[[#This Row],[QuantityInStock]]=0,"Out Of Stock")</f>
        <v>Low Stock</v>
      </c>
      <c r="G341" s="2" t="s">
        <v>518</v>
      </c>
      <c r="H341" s="2" t="s">
        <v>522</v>
      </c>
      <c r="I341" s="2">
        <v>21</v>
      </c>
      <c r="J341" s="2" t="s">
        <v>527</v>
      </c>
      <c r="K341" s="2">
        <v>65.28</v>
      </c>
      <c r="L341" s="2">
        <f>Table24[[#This Row],[QuantityInStock]]*Table24[[#This Row],[UnitCost]]</f>
        <v>1240.32</v>
      </c>
    </row>
    <row r="342" spans="1:12" x14ac:dyDescent="0.3">
      <c r="A342" s="2" t="s">
        <v>349</v>
      </c>
      <c r="B342" s="2" t="s">
        <v>514</v>
      </c>
      <c r="C342" s="2" t="str">
        <f>_xlfn.XLOOKUP(Table24[[#This Row],[ProductName]],Table4[Product name],Table4[Category],"Not Found",0)</f>
        <v>Furniture</v>
      </c>
      <c r="D342" s="2">
        <v>438</v>
      </c>
      <c r="E342" s="2">
        <v>39</v>
      </c>
      <c r="F342" s="2" t="str" cm="1">
        <f t="array" ref="F342">_xlfn.IFS(Table24[[#This Row],[QuantityInStock]]&lt;=Table24[[#This Row],[ReorderPoint]],"Low Stock",Table24[[#This Row],[QuantityInStock]]&gt;Table24[[#This Row],[ReorderPoint]],"Adequate Stock",Table24[[#This Row],[QuantityInStock]]=0,"Out Of Stock")</f>
        <v>Adequate Stock</v>
      </c>
      <c r="G342" s="2" t="s">
        <v>516</v>
      </c>
      <c r="H342" s="2" t="s">
        <v>520</v>
      </c>
      <c r="I342" s="2">
        <v>14</v>
      </c>
      <c r="J342" s="2" t="s">
        <v>524</v>
      </c>
      <c r="K342" s="2">
        <v>62.75</v>
      </c>
      <c r="L342" s="2">
        <f>Table24[[#This Row],[QuantityInStock]]*Table24[[#This Row],[UnitCost]]</f>
        <v>27484.5</v>
      </c>
    </row>
    <row r="343" spans="1:12" x14ac:dyDescent="0.3">
      <c r="A343" s="2" t="s">
        <v>350</v>
      </c>
      <c r="B343" s="2" t="s">
        <v>514</v>
      </c>
      <c r="C343" s="2" t="str">
        <f>_xlfn.XLOOKUP(Table24[[#This Row],[ProductName]],Table4[Product name],Table4[Category],"Not Found",0)</f>
        <v>Furniture</v>
      </c>
      <c r="D343" s="2">
        <v>9</v>
      </c>
      <c r="E343" s="2">
        <v>83</v>
      </c>
      <c r="F343" s="2" t="str" cm="1">
        <f t="array" ref="F343">_xlfn.IFS(Table24[[#This Row],[QuantityInStock]]&lt;=Table24[[#This Row],[ReorderPoint]],"Low Stock",Table24[[#This Row],[QuantityInStock]]&gt;Table24[[#This Row],[ReorderPoint]],"Adequate Stock",Table24[[#This Row],[QuantityInStock]]=0,"Out Of Stock")</f>
        <v>Low Stock</v>
      </c>
      <c r="G343" s="2" t="s">
        <v>517</v>
      </c>
      <c r="H343" s="2" t="s">
        <v>521</v>
      </c>
      <c r="I343" s="2">
        <v>7</v>
      </c>
      <c r="J343" s="2" t="s">
        <v>524</v>
      </c>
      <c r="K343" s="2">
        <v>15.86</v>
      </c>
      <c r="L343" s="2">
        <f>Table24[[#This Row],[QuantityInStock]]*Table24[[#This Row],[UnitCost]]</f>
        <v>142.74</v>
      </c>
    </row>
    <row r="344" spans="1:12" x14ac:dyDescent="0.3">
      <c r="A344" s="2" t="s">
        <v>351</v>
      </c>
      <c r="B344" s="2" t="s">
        <v>511</v>
      </c>
      <c r="C344" s="2" t="str">
        <f>_xlfn.XLOOKUP(Table24[[#This Row],[ProductName]],Table4[Product name],Table4[Category],"Not Found",0)</f>
        <v>Electronics</v>
      </c>
      <c r="D344" s="2">
        <v>221</v>
      </c>
      <c r="E344" s="2">
        <v>100</v>
      </c>
      <c r="F344" s="2" t="str" cm="1">
        <f t="array" ref="F344">_xlfn.IFS(Table24[[#This Row],[QuantityInStock]]&lt;=Table24[[#This Row],[ReorderPoint]],"Low Stock",Table24[[#This Row],[QuantityInStock]]&gt;Table24[[#This Row],[ReorderPoint]],"Adequate Stock",Table24[[#This Row],[QuantityInStock]]=0,"Out Of Stock")</f>
        <v>Adequate Stock</v>
      </c>
      <c r="G344" s="2" t="s">
        <v>517</v>
      </c>
      <c r="H344" s="2" t="s">
        <v>521</v>
      </c>
      <c r="I344" s="2">
        <v>10</v>
      </c>
      <c r="J344" s="2" t="s">
        <v>526</v>
      </c>
      <c r="K344" s="2">
        <v>41.02</v>
      </c>
      <c r="L344" s="2">
        <f>Table24[[#This Row],[QuantityInStock]]*Table24[[#This Row],[UnitCost]]</f>
        <v>9065.42</v>
      </c>
    </row>
    <row r="345" spans="1:12" x14ac:dyDescent="0.3">
      <c r="A345" s="2" t="s">
        <v>352</v>
      </c>
      <c r="B345" s="2" t="s">
        <v>511</v>
      </c>
      <c r="C345" s="2" t="str">
        <f>_xlfn.XLOOKUP(Table24[[#This Row],[ProductName]],Table4[Product name],Table4[Category],"Not Found",0)</f>
        <v>Electronics</v>
      </c>
      <c r="D345" s="2">
        <v>293</v>
      </c>
      <c r="E345" s="2">
        <v>40</v>
      </c>
      <c r="F345" s="2" t="str" cm="1">
        <f t="array" ref="F345">_xlfn.IFS(Table24[[#This Row],[QuantityInStock]]&lt;=Table24[[#This Row],[ReorderPoint]],"Low Stock",Table24[[#This Row],[QuantityInStock]]&gt;Table24[[#This Row],[ReorderPoint]],"Adequate Stock",Table24[[#This Row],[QuantityInStock]]=0,"Out Of Stock")</f>
        <v>Adequate Stock</v>
      </c>
      <c r="G345" s="2" t="s">
        <v>516</v>
      </c>
      <c r="H345" s="2" t="s">
        <v>520</v>
      </c>
      <c r="I345" s="2">
        <v>9</v>
      </c>
      <c r="J345" s="2" t="s">
        <v>527</v>
      </c>
      <c r="K345" s="2">
        <v>112.22</v>
      </c>
      <c r="L345" s="2">
        <f>Table24[[#This Row],[QuantityInStock]]*Table24[[#This Row],[UnitCost]]</f>
        <v>32880.46</v>
      </c>
    </row>
    <row r="346" spans="1:12" x14ac:dyDescent="0.3">
      <c r="A346" s="2" t="s">
        <v>353</v>
      </c>
      <c r="B346" s="2" t="s">
        <v>512</v>
      </c>
      <c r="C346" s="2" t="str">
        <f>_xlfn.XLOOKUP(Table24[[#This Row],[ProductName]],Table4[Product name],Table4[Category],"Not Found",0)</f>
        <v>Furniture</v>
      </c>
      <c r="D346" s="2">
        <v>4</v>
      </c>
      <c r="E346" s="2">
        <v>96</v>
      </c>
      <c r="F346" s="2" t="str" cm="1">
        <f t="array" ref="F346">_xlfn.IFS(Table24[[#This Row],[QuantityInStock]]&lt;=Table24[[#This Row],[ReorderPoint]],"Low Stock",Table24[[#This Row],[QuantityInStock]]&gt;Table24[[#This Row],[ReorderPoint]],"Adequate Stock",Table24[[#This Row],[QuantityInStock]]=0,"Out Of Stock")</f>
        <v>Low Stock</v>
      </c>
      <c r="G346" s="2" t="s">
        <v>516</v>
      </c>
      <c r="H346" s="2" t="s">
        <v>520</v>
      </c>
      <c r="I346" s="2">
        <v>16</v>
      </c>
      <c r="J346" s="2" t="s">
        <v>524</v>
      </c>
      <c r="K346" s="2">
        <v>181.05</v>
      </c>
      <c r="L346" s="2">
        <f>Table24[[#This Row],[QuantityInStock]]*Table24[[#This Row],[UnitCost]]</f>
        <v>724.2</v>
      </c>
    </row>
    <row r="347" spans="1:12" x14ac:dyDescent="0.3">
      <c r="A347" s="2" t="s">
        <v>354</v>
      </c>
      <c r="B347" s="2" t="s">
        <v>514</v>
      </c>
      <c r="C347" s="2" t="str">
        <f>_xlfn.XLOOKUP(Table24[[#This Row],[ProductName]],Table4[Product name],Table4[Category],"Not Found",0)</f>
        <v>Furniture</v>
      </c>
      <c r="D347" s="2">
        <v>248</v>
      </c>
      <c r="E347" s="2">
        <v>90</v>
      </c>
      <c r="F347" s="2" t="str" cm="1">
        <f t="array" ref="F347">_xlfn.IFS(Table24[[#This Row],[QuantityInStock]]&lt;=Table24[[#This Row],[ReorderPoint]],"Low Stock",Table24[[#This Row],[QuantityInStock]]&gt;Table24[[#This Row],[ReorderPoint]],"Adequate Stock",Table24[[#This Row],[QuantityInStock]]=0,"Out Of Stock")</f>
        <v>Adequate Stock</v>
      </c>
      <c r="G347" s="2" t="s">
        <v>516</v>
      </c>
      <c r="H347" s="2" t="s">
        <v>520</v>
      </c>
      <c r="I347" s="2">
        <v>11</v>
      </c>
      <c r="J347" s="2" t="s">
        <v>527</v>
      </c>
      <c r="K347" s="2">
        <v>124.22</v>
      </c>
      <c r="L347" s="2">
        <f>Table24[[#This Row],[QuantityInStock]]*Table24[[#This Row],[UnitCost]]</f>
        <v>30806.560000000001</v>
      </c>
    </row>
    <row r="348" spans="1:12" x14ac:dyDescent="0.3">
      <c r="A348" s="2" t="s">
        <v>355</v>
      </c>
      <c r="B348" s="2" t="s">
        <v>514</v>
      </c>
      <c r="C348" s="2" t="str">
        <f>_xlfn.XLOOKUP(Table24[[#This Row],[ProductName]],Table4[Product name],Table4[Category],"Not Found",0)</f>
        <v>Furniture</v>
      </c>
      <c r="D348" s="2">
        <v>277</v>
      </c>
      <c r="E348" s="2">
        <v>48</v>
      </c>
      <c r="F348" s="2" t="str" cm="1">
        <f t="array" ref="F348">_xlfn.IFS(Table24[[#This Row],[QuantityInStock]]&lt;=Table24[[#This Row],[ReorderPoint]],"Low Stock",Table24[[#This Row],[QuantityInStock]]&gt;Table24[[#This Row],[ReorderPoint]],"Adequate Stock",Table24[[#This Row],[QuantityInStock]]=0,"Out Of Stock")</f>
        <v>Adequate Stock</v>
      </c>
      <c r="G348" s="2" t="s">
        <v>518</v>
      </c>
      <c r="H348" s="2" t="s">
        <v>522</v>
      </c>
      <c r="I348" s="2">
        <v>4</v>
      </c>
      <c r="J348" s="2" t="s">
        <v>528</v>
      </c>
      <c r="K348" s="2">
        <v>198.14</v>
      </c>
      <c r="L348" s="2">
        <f>Table24[[#This Row],[QuantityInStock]]*Table24[[#This Row],[UnitCost]]</f>
        <v>54884.78</v>
      </c>
    </row>
    <row r="349" spans="1:12" x14ac:dyDescent="0.3">
      <c r="A349" s="2" t="s">
        <v>356</v>
      </c>
      <c r="B349" s="2" t="s">
        <v>513</v>
      </c>
      <c r="C349" s="2" t="str">
        <f>_xlfn.XLOOKUP(Table24[[#This Row],[ProductName]],Table4[Product name],Table4[Category],"Not Found",0)</f>
        <v>Electronics</v>
      </c>
      <c r="D349" s="2">
        <v>481</v>
      </c>
      <c r="E349" s="2">
        <v>27</v>
      </c>
      <c r="F349" s="2" t="str" cm="1">
        <f t="array" ref="F349">_xlfn.IFS(Table24[[#This Row],[QuantityInStock]]&lt;=Table24[[#This Row],[ReorderPoint]],"Low Stock",Table24[[#This Row],[QuantityInStock]]&gt;Table24[[#This Row],[ReorderPoint]],"Adequate Stock",Table24[[#This Row],[QuantityInStock]]=0,"Out Of Stock")</f>
        <v>Adequate Stock</v>
      </c>
      <c r="G349" s="2" t="s">
        <v>516</v>
      </c>
      <c r="H349" s="2" t="s">
        <v>520</v>
      </c>
      <c r="I349" s="2">
        <v>15</v>
      </c>
      <c r="J349" s="2" t="s">
        <v>526</v>
      </c>
      <c r="K349" s="2">
        <v>125.55</v>
      </c>
      <c r="L349" s="2">
        <f>Table24[[#This Row],[QuantityInStock]]*Table24[[#This Row],[UnitCost]]</f>
        <v>60389.549999999996</v>
      </c>
    </row>
    <row r="350" spans="1:12" x14ac:dyDescent="0.3">
      <c r="A350" s="2" t="s">
        <v>357</v>
      </c>
      <c r="B350" s="2" t="s">
        <v>514</v>
      </c>
      <c r="C350" s="2" t="str">
        <f>_xlfn.XLOOKUP(Table24[[#This Row],[ProductName]],Table4[Product name],Table4[Category],"Not Found",0)</f>
        <v>Furniture</v>
      </c>
      <c r="D350" s="2">
        <v>328</v>
      </c>
      <c r="E350" s="2">
        <v>68</v>
      </c>
      <c r="F350" s="2" t="str" cm="1">
        <f t="array" ref="F350">_xlfn.IFS(Table24[[#This Row],[QuantityInStock]]&lt;=Table24[[#This Row],[ReorderPoint]],"Low Stock",Table24[[#This Row],[QuantityInStock]]&gt;Table24[[#This Row],[ReorderPoint]],"Adequate Stock",Table24[[#This Row],[QuantityInStock]]=0,"Out Of Stock")</f>
        <v>Adequate Stock</v>
      </c>
      <c r="G350" s="2" t="s">
        <v>519</v>
      </c>
      <c r="H350" s="2" t="s">
        <v>523</v>
      </c>
      <c r="I350" s="2">
        <v>4</v>
      </c>
      <c r="J350" s="2" t="s">
        <v>525</v>
      </c>
      <c r="K350" s="2">
        <v>179.98</v>
      </c>
      <c r="L350" s="2">
        <f>Table24[[#This Row],[QuantityInStock]]*Table24[[#This Row],[UnitCost]]</f>
        <v>59033.439999999995</v>
      </c>
    </row>
    <row r="351" spans="1:12" x14ac:dyDescent="0.3">
      <c r="A351" s="2" t="s">
        <v>358</v>
      </c>
      <c r="B351" s="2" t="s">
        <v>509</v>
      </c>
      <c r="C351" s="2" t="str">
        <f>_xlfn.XLOOKUP(Table24[[#This Row],[ProductName]],Table4[Product name],Table4[Category],"Not Found",0)</f>
        <v>Electronics</v>
      </c>
      <c r="D351" s="2">
        <v>269</v>
      </c>
      <c r="E351" s="2">
        <v>95</v>
      </c>
      <c r="F351" s="2" t="str" cm="1">
        <f t="array" ref="F351">_xlfn.IFS(Table24[[#This Row],[QuantityInStock]]&lt;=Table24[[#This Row],[ReorderPoint]],"Low Stock",Table24[[#This Row],[QuantityInStock]]&gt;Table24[[#This Row],[ReorderPoint]],"Adequate Stock",Table24[[#This Row],[QuantityInStock]]=0,"Out Of Stock")</f>
        <v>Adequate Stock</v>
      </c>
      <c r="G351" s="2" t="s">
        <v>516</v>
      </c>
      <c r="H351" s="2" t="s">
        <v>520</v>
      </c>
      <c r="I351" s="2">
        <v>9</v>
      </c>
      <c r="J351" s="2" t="s">
        <v>526</v>
      </c>
      <c r="K351" s="2">
        <v>157.72</v>
      </c>
      <c r="L351" s="2">
        <f>Table24[[#This Row],[QuantityInStock]]*Table24[[#This Row],[UnitCost]]</f>
        <v>42426.68</v>
      </c>
    </row>
    <row r="352" spans="1:12" x14ac:dyDescent="0.3">
      <c r="A352" s="2" t="s">
        <v>359</v>
      </c>
      <c r="B352" s="2" t="s">
        <v>510</v>
      </c>
      <c r="C352" s="2" t="str">
        <f>_xlfn.XLOOKUP(Table24[[#This Row],[ProductName]],Table4[Product name],Table4[Category],"Not Found",0)</f>
        <v>Electronics</v>
      </c>
      <c r="D352" s="2">
        <v>481</v>
      </c>
      <c r="E352" s="2">
        <v>23</v>
      </c>
      <c r="F352" s="2" t="str" cm="1">
        <f t="array" ref="F352">_xlfn.IFS(Table24[[#This Row],[QuantityInStock]]&lt;=Table24[[#This Row],[ReorderPoint]],"Low Stock",Table24[[#This Row],[QuantityInStock]]&gt;Table24[[#This Row],[ReorderPoint]],"Adequate Stock",Table24[[#This Row],[QuantityInStock]]=0,"Out Of Stock")</f>
        <v>Adequate Stock</v>
      </c>
      <c r="G352" s="2" t="s">
        <v>517</v>
      </c>
      <c r="H352" s="2" t="s">
        <v>521</v>
      </c>
      <c r="I352" s="2">
        <v>3</v>
      </c>
      <c r="J352" s="2" t="s">
        <v>527</v>
      </c>
      <c r="K352" s="2">
        <v>132.77000000000001</v>
      </c>
      <c r="L352" s="2">
        <f>Table24[[#This Row],[QuantityInStock]]*Table24[[#This Row],[UnitCost]]</f>
        <v>63862.37</v>
      </c>
    </row>
    <row r="353" spans="1:12" x14ac:dyDescent="0.3">
      <c r="A353" s="2" t="s">
        <v>360</v>
      </c>
      <c r="B353" s="2" t="s">
        <v>509</v>
      </c>
      <c r="C353" s="2" t="str">
        <f>_xlfn.XLOOKUP(Table24[[#This Row],[ProductName]],Table4[Product name],Table4[Category],"Not Found",0)</f>
        <v>Electronics</v>
      </c>
      <c r="D353" s="2">
        <v>44</v>
      </c>
      <c r="E353" s="2">
        <v>94</v>
      </c>
      <c r="F353" s="2" t="str" cm="1">
        <f t="array" ref="F353">_xlfn.IFS(Table24[[#This Row],[QuantityInStock]]&lt;=Table24[[#This Row],[ReorderPoint]],"Low Stock",Table24[[#This Row],[QuantityInStock]]&gt;Table24[[#This Row],[ReorderPoint]],"Adequate Stock",Table24[[#This Row],[QuantityInStock]]=0,"Out Of Stock")</f>
        <v>Low Stock</v>
      </c>
      <c r="G353" s="2" t="s">
        <v>518</v>
      </c>
      <c r="H353" s="2" t="s">
        <v>522</v>
      </c>
      <c r="I353" s="2">
        <v>11</v>
      </c>
      <c r="J353" s="2" t="s">
        <v>525</v>
      </c>
      <c r="K353" s="2">
        <v>135.66</v>
      </c>
      <c r="L353" s="2">
        <f>Table24[[#This Row],[QuantityInStock]]*Table24[[#This Row],[UnitCost]]</f>
        <v>5969.04</v>
      </c>
    </row>
    <row r="354" spans="1:12" x14ac:dyDescent="0.3">
      <c r="A354" s="2" t="s">
        <v>361</v>
      </c>
      <c r="B354" s="2" t="s">
        <v>509</v>
      </c>
      <c r="C354" s="2" t="str">
        <f>_xlfn.XLOOKUP(Table24[[#This Row],[ProductName]],Table4[Product name],Table4[Category],"Not Found",0)</f>
        <v>Electronics</v>
      </c>
      <c r="D354" s="2">
        <v>333</v>
      </c>
      <c r="E354" s="2">
        <v>25</v>
      </c>
      <c r="F354" s="2" t="str" cm="1">
        <f t="array" ref="F354">_xlfn.IFS(Table24[[#This Row],[QuantityInStock]]&lt;=Table24[[#This Row],[ReorderPoint]],"Low Stock",Table24[[#This Row],[QuantityInStock]]&gt;Table24[[#This Row],[ReorderPoint]],"Adequate Stock",Table24[[#This Row],[QuantityInStock]]=0,"Out Of Stock")</f>
        <v>Adequate Stock</v>
      </c>
      <c r="G354" s="2" t="s">
        <v>517</v>
      </c>
      <c r="H354" s="2" t="s">
        <v>521</v>
      </c>
      <c r="I354" s="2">
        <v>16</v>
      </c>
      <c r="J354" s="2" t="s">
        <v>528</v>
      </c>
      <c r="K354" s="2">
        <v>95.6</v>
      </c>
      <c r="L354" s="2">
        <f>Table24[[#This Row],[QuantityInStock]]*Table24[[#This Row],[UnitCost]]</f>
        <v>31834.799999999999</v>
      </c>
    </row>
    <row r="355" spans="1:12" x14ac:dyDescent="0.3">
      <c r="A355" s="2" t="s">
        <v>362</v>
      </c>
      <c r="B355" s="2" t="s">
        <v>510</v>
      </c>
      <c r="C355" s="2" t="str">
        <f>_xlfn.XLOOKUP(Table24[[#This Row],[ProductName]],Table4[Product name],Table4[Category],"Not Found",0)</f>
        <v>Electronics</v>
      </c>
      <c r="D355" s="2">
        <v>401</v>
      </c>
      <c r="E355" s="2">
        <v>54</v>
      </c>
      <c r="F355" s="2" t="str" cm="1">
        <f t="array" ref="F355">_xlfn.IFS(Table24[[#This Row],[QuantityInStock]]&lt;=Table24[[#This Row],[ReorderPoint]],"Low Stock",Table24[[#This Row],[QuantityInStock]]&gt;Table24[[#This Row],[ReorderPoint]],"Adequate Stock",Table24[[#This Row],[QuantityInStock]]=0,"Out Of Stock")</f>
        <v>Adequate Stock</v>
      </c>
      <c r="G355" s="2" t="s">
        <v>518</v>
      </c>
      <c r="H355" s="2" t="s">
        <v>522</v>
      </c>
      <c r="I355" s="2">
        <v>19</v>
      </c>
      <c r="J355" s="2" t="s">
        <v>525</v>
      </c>
      <c r="K355" s="2">
        <v>75.75</v>
      </c>
      <c r="L355" s="2">
        <f>Table24[[#This Row],[QuantityInStock]]*Table24[[#This Row],[UnitCost]]</f>
        <v>30375.75</v>
      </c>
    </row>
    <row r="356" spans="1:12" x14ac:dyDescent="0.3">
      <c r="A356" s="2" t="s">
        <v>363</v>
      </c>
      <c r="B356" s="2" t="s">
        <v>511</v>
      </c>
      <c r="C356" s="2" t="str">
        <f>_xlfn.XLOOKUP(Table24[[#This Row],[ProductName]],Table4[Product name],Table4[Category],"Not Found",0)</f>
        <v>Electronics</v>
      </c>
      <c r="D356" s="2">
        <v>147</v>
      </c>
      <c r="E356" s="2">
        <v>23</v>
      </c>
      <c r="F356" s="2" t="str" cm="1">
        <f t="array" ref="F356">_xlfn.IFS(Table24[[#This Row],[QuantityInStock]]&lt;=Table24[[#This Row],[ReorderPoint]],"Low Stock",Table24[[#This Row],[QuantityInStock]]&gt;Table24[[#This Row],[ReorderPoint]],"Adequate Stock",Table24[[#This Row],[QuantityInStock]]=0,"Out Of Stock")</f>
        <v>Adequate Stock</v>
      </c>
      <c r="G356" s="2" t="s">
        <v>518</v>
      </c>
      <c r="H356" s="2" t="s">
        <v>522</v>
      </c>
      <c r="I356" s="2">
        <v>14</v>
      </c>
      <c r="J356" s="2" t="s">
        <v>527</v>
      </c>
      <c r="K356" s="2">
        <v>22.04</v>
      </c>
      <c r="L356" s="2">
        <f>Table24[[#This Row],[QuantityInStock]]*Table24[[#This Row],[UnitCost]]</f>
        <v>3239.8799999999997</v>
      </c>
    </row>
    <row r="357" spans="1:12" x14ac:dyDescent="0.3">
      <c r="A357" s="2" t="s">
        <v>364</v>
      </c>
      <c r="B357" s="2" t="s">
        <v>514</v>
      </c>
      <c r="C357" s="2" t="str">
        <f>_xlfn.XLOOKUP(Table24[[#This Row],[ProductName]],Table4[Product name],Table4[Category],"Not Found",0)</f>
        <v>Furniture</v>
      </c>
      <c r="D357" s="2">
        <v>257</v>
      </c>
      <c r="E357" s="2">
        <v>47</v>
      </c>
      <c r="F357" s="2" t="str" cm="1">
        <f t="array" ref="F357">_xlfn.IFS(Table24[[#This Row],[QuantityInStock]]&lt;=Table24[[#This Row],[ReorderPoint]],"Low Stock",Table24[[#This Row],[QuantityInStock]]&gt;Table24[[#This Row],[ReorderPoint]],"Adequate Stock",Table24[[#This Row],[QuantityInStock]]=0,"Out Of Stock")</f>
        <v>Adequate Stock</v>
      </c>
      <c r="G357" s="2" t="s">
        <v>518</v>
      </c>
      <c r="H357" s="2" t="s">
        <v>522</v>
      </c>
      <c r="I357" s="2">
        <v>10</v>
      </c>
      <c r="J357" s="2" t="s">
        <v>528</v>
      </c>
      <c r="K357" s="2">
        <v>122.44</v>
      </c>
      <c r="L357" s="2">
        <f>Table24[[#This Row],[QuantityInStock]]*Table24[[#This Row],[UnitCost]]</f>
        <v>31467.079999999998</v>
      </c>
    </row>
    <row r="358" spans="1:12" x14ac:dyDescent="0.3">
      <c r="A358" s="2" t="s">
        <v>365</v>
      </c>
      <c r="B358" s="2" t="s">
        <v>513</v>
      </c>
      <c r="C358" s="2" t="str">
        <f>_xlfn.XLOOKUP(Table24[[#This Row],[ProductName]],Table4[Product name],Table4[Category],"Not Found",0)</f>
        <v>Electronics</v>
      </c>
      <c r="D358" s="2">
        <v>333</v>
      </c>
      <c r="E358" s="2">
        <v>68</v>
      </c>
      <c r="F358" s="2" t="str" cm="1">
        <f t="array" ref="F358">_xlfn.IFS(Table24[[#This Row],[QuantityInStock]]&lt;=Table24[[#This Row],[ReorderPoint]],"Low Stock",Table24[[#This Row],[QuantityInStock]]&gt;Table24[[#This Row],[ReorderPoint]],"Adequate Stock",Table24[[#This Row],[QuantityInStock]]=0,"Out Of Stock")</f>
        <v>Adequate Stock</v>
      </c>
      <c r="G358" s="2" t="s">
        <v>517</v>
      </c>
      <c r="H358" s="2" t="s">
        <v>521</v>
      </c>
      <c r="I358" s="2">
        <v>4</v>
      </c>
      <c r="J358" s="2" t="s">
        <v>524</v>
      </c>
      <c r="K358" s="2">
        <v>79.87</v>
      </c>
      <c r="L358" s="2">
        <f>Table24[[#This Row],[QuantityInStock]]*Table24[[#This Row],[UnitCost]]</f>
        <v>26596.710000000003</v>
      </c>
    </row>
    <row r="359" spans="1:12" x14ac:dyDescent="0.3">
      <c r="A359" s="2" t="s">
        <v>366</v>
      </c>
      <c r="B359" s="2" t="s">
        <v>513</v>
      </c>
      <c r="C359" s="2" t="str">
        <f>_xlfn.XLOOKUP(Table24[[#This Row],[ProductName]],Table4[Product name],Table4[Category],"Not Found",0)</f>
        <v>Electronics</v>
      </c>
      <c r="D359" s="2">
        <v>82</v>
      </c>
      <c r="E359" s="2">
        <v>54</v>
      </c>
      <c r="F359" s="2" t="str" cm="1">
        <f t="array" ref="F359">_xlfn.IFS(Table24[[#This Row],[QuantityInStock]]&lt;=Table24[[#This Row],[ReorderPoint]],"Low Stock",Table24[[#This Row],[QuantityInStock]]&gt;Table24[[#This Row],[ReorderPoint]],"Adequate Stock",Table24[[#This Row],[QuantityInStock]]=0,"Out Of Stock")</f>
        <v>Adequate Stock</v>
      </c>
      <c r="G359" s="2" t="s">
        <v>518</v>
      </c>
      <c r="H359" s="2" t="s">
        <v>522</v>
      </c>
      <c r="I359" s="2">
        <v>8</v>
      </c>
      <c r="J359" s="2" t="s">
        <v>527</v>
      </c>
      <c r="K359" s="2">
        <v>38.44</v>
      </c>
      <c r="L359" s="2">
        <f>Table24[[#This Row],[QuantityInStock]]*Table24[[#This Row],[UnitCost]]</f>
        <v>3152.08</v>
      </c>
    </row>
    <row r="360" spans="1:12" x14ac:dyDescent="0.3">
      <c r="A360" s="2" t="s">
        <v>367</v>
      </c>
      <c r="B360" s="2" t="s">
        <v>512</v>
      </c>
      <c r="C360" s="2" t="str">
        <f>_xlfn.XLOOKUP(Table24[[#This Row],[ProductName]],Table4[Product name],Table4[Category],"Not Found",0)</f>
        <v>Furniture</v>
      </c>
      <c r="D360" s="2">
        <v>456</v>
      </c>
      <c r="E360" s="2">
        <v>20</v>
      </c>
      <c r="F360" s="2" t="str" cm="1">
        <f t="array" ref="F360">_xlfn.IFS(Table24[[#This Row],[QuantityInStock]]&lt;=Table24[[#This Row],[ReorderPoint]],"Low Stock",Table24[[#This Row],[QuantityInStock]]&gt;Table24[[#This Row],[ReorderPoint]],"Adequate Stock",Table24[[#This Row],[QuantityInStock]]=0,"Out Of Stock")</f>
        <v>Adequate Stock</v>
      </c>
      <c r="G360" s="2" t="s">
        <v>518</v>
      </c>
      <c r="H360" s="2" t="s">
        <v>522</v>
      </c>
      <c r="I360" s="2">
        <v>17</v>
      </c>
      <c r="J360" s="2" t="s">
        <v>525</v>
      </c>
      <c r="K360" s="2">
        <v>119.98</v>
      </c>
      <c r="L360" s="2">
        <f>Table24[[#This Row],[QuantityInStock]]*Table24[[#This Row],[UnitCost]]</f>
        <v>54710.880000000005</v>
      </c>
    </row>
    <row r="361" spans="1:12" x14ac:dyDescent="0.3">
      <c r="A361" s="2" t="s">
        <v>368</v>
      </c>
      <c r="B361" s="2" t="s">
        <v>513</v>
      </c>
      <c r="C361" s="2" t="str">
        <f>_xlfn.XLOOKUP(Table24[[#This Row],[ProductName]],Table4[Product name],Table4[Category],"Not Found",0)</f>
        <v>Electronics</v>
      </c>
      <c r="D361" s="2">
        <v>425</v>
      </c>
      <c r="E361" s="2">
        <v>76</v>
      </c>
      <c r="F361" s="2" t="str" cm="1">
        <f t="array" ref="F361">_xlfn.IFS(Table24[[#This Row],[QuantityInStock]]&lt;=Table24[[#This Row],[ReorderPoint]],"Low Stock",Table24[[#This Row],[QuantityInStock]]&gt;Table24[[#This Row],[ReorderPoint]],"Adequate Stock",Table24[[#This Row],[QuantityInStock]]=0,"Out Of Stock")</f>
        <v>Adequate Stock</v>
      </c>
      <c r="G361" s="2" t="s">
        <v>518</v>
      </c>
      <c r="H361" s="2" t="s">
        <v>522</v>
      </c>
      <c r="I361" s="2">
        <v>8</v>
      </c>
      <c r="J361" s="2" t="s">
        <v>527</v>
      </c>
      <c r="K361" s="2">
        <v>34.79</v>
      </c>
      <c r="L361" s="2">
        <f>Table24[[#This Row],[QuantityInStock]]*Table24[[#This Row],[UnitCost]]</f>
        <v>14785.75</v>
      </c>
    </row>
    <row r="362" spans="1:12" x14ac:dyDescent="0.3">
      <c r="A362" s="2" t="s">
        <v>369</v>
      </c>
      <c r="B362" s="2" t="s">
        <v>514</v>
      </c>
      <c r="C362" s="2" t="str">
        <f>_xlfn.XLOOKUP(Table24[[#This Row],[ProductName]],Table4[Product name],Table4[Category],"Not Found",0)</f>
        <v>Furniture</v>
      </c>
      <c r="D362" s="2">
        <v>32</v>
      </c>
      <c r="E362" s="2">
        <v>20</v>
      </c>
      <c r="F362" s="2" t="str" cm="1">
        <f t="array" ref="F362">_xlfn.IFS(Table24[[#This Row],[QuantityInStock]]&lt;=Table24[[#This Row],[ReorderPoint]],"Low Stock",Table24[[#This Row],[QuantityInStock]]&gt;Table24[[#This Row],[ReorderPoint]],"Adequate Stock",Table24[[#This Row],[QuantityInStock]]=0,"Out Of Stock")</f>
        <v>Adequate Stock</v>
      </c>
      <c r="G362" s="2" t="s">
        <v>519</v>
      </c>
      <c r="H362" s="2" t="s">
        <v>523</v>
      </c>
      <c r="I362" s="2">
        <v>6</v>
      </c>
      <c r="J362" s="2" t="s">
        <v>526</v>
      </c>
      <c r="K362" s="2">
        <v>148.51</v>
      </c>
      <c r="L362" s="2">
        <f>Table24[[#This Row],[QuantityInStock]]*Table24[[#This Row],[UnitCost]]</f>
        <v>4752.32</v>
      </c>
    </row>
    <row r="363" spans="1:12" x14ac:dyDescent="0.3">
      <c r="A363" s="2" t="s">
        <v>370</v>
      </c>
      <c r="B363" s="2" t="s">
        <v>513</v>
      </c>
      <c r="C363" s="2" t="str">
        <f>_xlfn.XLOOKUP(Table24[[#This Row],[ProductName]],Table4[Product name],Table4[Category],"Not Found",0)</f>
        <v>Electronics</v>
      </c>
      <c r="D363" s="2">
        <v>203</v>
      </c>
      <c r="E363" s="2">
        <v>45</v>
      </c>
      <c r="F363" s="2" t="str" cm="1">
        <f t="array" ref="F363">_xlfn.IFS(Table24[[#This Row],[QuantityInStock]]&lt;=Table24[[#This Row],[ReorderPoint]],"Low Stock",Table24[[#This Row],[QuantityInStock]]&gt;Table24[[#This Row],[ReorderPoint]],"Adequate Stock",Table24[[#This Row],[QuantityInStock]]=0,"Out Of Stock")</f>
        <v>Adequate Stock</v>
      </c>
      <c r="G363" s="2" t="s">
        <v>517</v>
      </c>
      <c r="H363" s="2" t="s">
        <v>521</v>
      </c>
      <c r="I363" s="2">
        <v>4</v>
      </c>
      <c r="J363" s="2" t="s">
        <v>525</v>
      </c>
      <c r="K363" s="2">
        <v>10.71</v>
      </c>
      <c r="L363" s="2">
        <f>Table24[[#This Row],[QuantityInStock]]*Table24[[#This Row],[UnitCost]]</f>
        <v>2174.13</v>
      </c>
    </row>
    <row r="364" spans="1:12" x14ac:dyDescent="0.3">
      <c r="A364" s="2" t="s">
        <v>371</v>
      </c>
      <c r="B364" s="2" t="s">
        <v>511</v>
      </c>
      <c r="C364" s="2" t="str">
        <f>_xlfn.XLOOKUP(Table24[[#This Row],[ProductName]],Table4[Product name],Table4[Category],"Not Found",0)</f>
        <v>Electronics</v>
      </c>
      <c r="D364" s="2">
        <v>464</v>
      </c>
      <c r="E364" s="2">
        <v>55</v>
      </c>
      <c r="F364" s="2" t="str" cm="1">
        <f t="array" ref="F364">_xlfn.IFS(Table24[[#This Row],[QuantityInStock]]&lt;=Table24[[#This Row],[ReorderPoint]],"Low Stock",Table24[[#This Row],[QuantityInStock]]&gt;Table24[[#This Row],[ReorderPoint]],"Adequate Stock",Table24[[#This Row],[QuantityInStock]]=0,"Out Of Stock")</f>
        <v>Adequate Stock</v>
      </c>
      <c r="G364" s="2" t="s">
        <v>516</v>
      </c>
      <c r="H364" s="2" t="s">
        <v>520</v>
      </c>
      <c r="I364" s="2">
        <v>8</v>
      </c>
      <c r="J364" s="2" t="s">
        <v>526</v>
      </c>
      <c r="K364" s="2">
        <v>113.33</v>
      </c>
      <c r="L364" s="2">
        <f>Table24[[#This Row],[QuantityInStock]]*Table24[[#This Row],[UnitCost]]</f>
        <v>52585.120000000003</v>
      </c>
    </row>
    <row r="365" spans="1:12" x14ac:dyDescent="0.3">
      <c r="A365" s="2" t="s">
        <v>372</v>
      </c>
      <c r="B365" s="2" t="s">
        <v>509</v>
      </c>
      <c r="C365" s="2" t="str">
        <f>_xlfn.XLOOKUP(Table24[[#This Row],[ProductName]],Table4[Product name],Table4[Category],"Not Found",0)</f>
        <v>Electronics</v>
      </c>
      <c r="D365" s="2">
        <v>128</v>
      </c>
      <c r="E365" s="2">
        <v>98</v>
      </c>
      <c r="F365" s="2" t="str" cm="1">
        <f t="array" ref="F365">_xlfn.IFS(Table24[[#This Row],[QuantityInStock]]&lt;=Table24[[#This Row],[ReorderPoint]],"Low Stock",Table24[[#This Row],[QuantityInStock]]&gt;Table24[[#This Row],[ReorderPoint]],"Adequate Stock",Table24[[#This Row],[QuantityInStock]]=0,"Out Of Stock")</f>
        <v>Adequate Stock</v>
      </c>
      <c r="G365" s="2" t="s">
        <v>518</v>
      </c>
      <c r="H365" s="2" t="s">
        <v>522</v>
      </c>
      <c r="I365" s="2">
        <v>4</v>
      </c>
      <c r="J365" s="2" t="s">
        <v>527</v>
      </c>
      <c r="K365" s="2">
        <v>19.260000000000002</v>
      </c>
      <c r="L365" s="2">
        <f>Table24[[#This Row],[QuantityInStock]]*Table24[[#This Row],[UnitCost]]</f>
        <v>2465.2800000000002</v>
      </c>
    </row>
    <row r="366" spans="1:12" x14ac:dyDescent="0.3">
      <c r="A366" s="2" t="s">
        <v>373</v>
      </c>
      <c r="B366" s="2" t="s">
        <v>511</v>
      </c>
      <c r="C366" s="2" t="str">
        <f>_xlfn.XLOOKUP(Table24[[#This Row],[ProductName]],Table4[Product name],Table4[Category],"Not Found",0)</f>
        <v>Electronics</v>
      </c>
      <c r="D366" s="2">
        <v>489</v>
      </c>
      <c r="E366" s="2">
        <v>89</v>
      </c>
      <c r="F366" s="2" t="str" cm="1">
        <f t="array" ref="F366">_xlfn.IFS(Table24[[#This Row],[QuantityInStock]]&lt;=Table24[[#This Row],[ReorderPoint]],"Low Stock",Table24[[#This Row],[QuantityInStock]]&gt;Table24[[#This Row],[ReorderPoint]],"Adequate Stock",Table24[[#This Row],[QuantityInStock]]=0,"Out Of Stock")</f>
        <v>Adequate Stock</v>
      </c>
      <c r="G366" s="2" t="s">
        <v>519</v>
      </c>
      <c r="H366" s="2" t="s">
        <v>523</v>
      </c>
      <c r="I366" s="2">
        <v>14</v>
      </c>
      <c r="J366" s="2" t="s">
        <v>525</v>
      </c>
      <c r="K366" s="2">
        <v>93.52</v>
      </c>
      <c r="L366" s="2">
        <f>Table24[[#This Row],[QuantityInStock]]*Table24[[#This Row],[UnitCost]]</f>
        <v>45731.28</v>
      </c>
    </row>
    <row r="367" spans="1:12" x14ac:dyDescent="0.3">
      <c r="A367" s="2" t="s">
        <v>374</v>
      </c>
      <c r="B367" s="2" t="s">
        <v>515</v>
      </c>
      <c r="C367" s="2" t="str">
        <f>_xlfn.XLOOKUP(Table24[[#This Row],[ProductName]],Table4[Product name],Table4[Category],"Not Found",0)</f>
        <v>Electronics</v>
      </c>
      <c r="D367" s="2">
        <v>310</v>
      </c>
      <c r="E367" s="2">
        <v>94</v>
      </c>
      <c r="F367" s="2" t="str" cm="1">
        <f t="array" ref="F367">_xlfn.IFS(Table24[[#This Row],[QuantityInStock]]&lt;=Table24[[#This Row],[ReorderPoint]],"Low Stock",Table24[[#This Row],[QuantityInStock]]&gt;Table24[[#This Row],[ReorderPoint]],"Adequate Stock",Table24[[#This Row],[QuantityInStock]]=0,"Out Of Stock")</f>
        <v>Adequate Stock</v>
      </c>
      <c r="G367" s="2" t="s">
        <v>517</v>
      </c>
      <c r="H367" s="2" t="s">
        <v>521</v>
      </c>
      <c r="I367" s="2">
        <v>7</v>
      </c>
      <c r="J367" s="2" t="s">
        <v>527</v>
      </c>
      <c r="K367" s="2">
        <v>129.41999999999999</v>
      </c>
      <c r="L367" s="2">
        <f>Table24[[#This Row],[QuantityInStock]]*Table24[[#This Row],[UnitCost]]</f>
        <v>40120.199999999997</v>
      </c>
    </row>
    <row r="368" spans="1:12" x14ac:dyDescent="0.3">
      <c r="A368" s="2" t="s">
        <v>375</v>
      </c>
      <c r="B368" s="2" t="s">
        <v>509</v>
      </c>
      <c r="C368" s="2" t="str">
        <f>_xlfn.XLOOKUP(Table24[[#This Row],[ProductName]],Table4[Product name],Table4[Category],"Not Found",0)</f>
        <v>Electronics</v>
      </c>
      <c r="D368" s="2">
        <v>378</v>
      </c>
      <c r="E368" s="2">
        <v>83</v>
      </c>
      <c r="F368" s="2" t="str" cm="1">
        <f t="array" ref="F368">_xlfn.IFS(Table24[[#This Row],[QuantityInStock]]&lt;=Table24[[#This Row],[ReorderPoint]],"Low Stock",Table24[[#This Row],[QuantityInStock]]&gt;Table24[[#This Row],[ReorderPoint]],"Adequate Stock",Table24[[#This Row],[QuantityInStock]]=0,"Out Of Stock")</f>
        <v>Adequate Stock</v>
      </c>
      <c r="G368" s="2" t="s">
        <v>519</v>
      </c>
      <c r="H368" s="2" t="s">
        <v>523</v>
      </c>
      <c r="I368" s="2">
        <v>21</v>
      </c>
      <c r="J368" s="2" t="s">
        <v>526</v>
      </c>
      <c r="K368" s="2">
        <v>65.14</v>
      </c>
      <c r="L368" s="2">
        <f>Table24[[#This Row],[QuantityInStock]]*Table24[[#This Row],[UnitCost]]</f>
        <v>24622.920000000002</v>
      </c>
    </row>
    <row r="369" spans="1:12" x14ac:dyDescent="0.3">
      <c r="A369" s="2" t="s">
        <v>376</v>
      </c>
      <c r="B369" s="2" t="s">
        <v>515</v>
      </c>
      <c r="C369" s="2" t="str">
        <f>_xlfn.XLOOKUP(Table24[[#This Row],[ProductName]],Table4[Product name],Table4[Category],"Not Found",0)</f>
        <v>Electronics</v>
      </c>
      <c r="D369" s="2">
        <v>52</v>
      </c>
      <c r="E369" s="2">
        <v>32</v>
      </c>
      <c r="F369" s="2" t="str" cm="1">
        <f t="array" ref="F369">_xlfn.IFS(Table24[[#This Row],[QuantityInStock]]&lt;=Table24[[#This Row],[ReorderPoint]],"Low Stock",Table24[[#This Row],[QuantityInStock]]&gt;Table24[[#This Row],[ReorderPoint]],"Adequate Stock",Table24[[#This Row],[QuantityInStock]]=0,"Out Of Stock")</f>
        <v>Adequate Stock</v>
      </c>
      <c r="G369" s="2" t="s">
        <v>516</v>
      </c>
      <c r="H369" s="2" t="s">
        <v>520</v>
      </c>
      <c r="I369" s="2">
        <v>15</v>
      </c>
      <c r="J369" s="2" t="s">
        <v>528</v>
      </c>
      <c r="K369" s="2">
        <v>137.58000000000001</v>
      </c>
      <c r="L369" s="2">
        <f>Table24[[#This Row],[QuantityInStock]]*Table24[[#This Row],[UnitCost]]</f>
        <v>7154.1600000000008</v>
      </c>
    </row>
    <row r="370" spans="1:12" x14ac:dyDescent="0.3">
      <c r="A370" s="2" t="s">
        <v>377</v>
      </c>
      <c r="B370" s="2" t="s">
        <v>514</v>
      </c>
      <c r="C370" s="2" t="str">
        <f>_xlfn.XLOOKUP(Table24[[#This Row],[ProductName]],Table4[Product name],Table4[Category],"Not Found",0)</f>
        <v>Furniture</v>
      </c>
      <c r="D370" s="2">
        <v>205</v>
      </c>
      <c r="E370" s="2">
        <v>67</v>
      </c>
      <c r="F370" s="2" t="str" cm="1">
        <f t="array" ref="F370">_xlfn.IFS(Table24[[#This Row],[QuantityInStock]]&lt;=Table24[[#This Row],[ReorderPoint]],"Low Stock",Table24[[#This Row],[QuantityInStock]]&gt;Table24[[#This Row],[ReorderPoint]],"Adequate Stock",Table24[[#This Row],[QuantityInStock]]=0,"Out Of Stock")</f>
        <v>Adequate Stock</v>
      </c>
      <c r="G370" s="2" t="s">
        <v>518</v>
      </c>
      <c r="H370" s="2" t="s">
        <v>522</v>
      </c>
      <c r="I370" s="2">
        <v>18</v>
      </c>
      <c r="J370" s="2" t="s">
        <v>524</v>
      </c>
      <c r="K370" s="2">
        <v>156.22</v>
      </c>
      <c r="L370" s="2">
        <f>Table24[[#This Row],[QuantityInStock]]*Table24[[#This Row],[UnitCost]]</f>
        <v>32025.1</v>
      </c>
    </row>
    <row r="371" spans="1:12" x14ac:dyDescent="0.3">
      <c r="A371" s="2" t="s">
        <v>378</v>
      </c>
      <c r="B371" s="2" t="s">
        <v>511</v>
      </c>
      <c r="C371" s="2" t="str">
        <f>_xlfn.XLOOKUP(Table24[[#This Row],[ProductName]],Table4[Product name],Table4[Category],"Not Found",0)</f>
        <v>Electronics</v>
      </c>
      <c r="D371" s="2">
        <v>215</v>
      </c>
      <c r="E371" s="2">
        <v>83</v>
      </c>
      <c r="F371" s="2" t="str" cm="1">
        <f t="array" ref="F371">_xlfn.IFS(Table24[[#This Row],[QuantityInStock]]&lt;=Table24[[#This Row],[ReorderPoint]],"Low Stock",Table24[[#This Row],[QuantityInStock]]&gt;Table24[[#This Row],[ReorderPoint]],"Adequate Stock",Table24[[#This Row],[QuantityInStock]]=0,"Out Of Stock")</f>
        <v>Adequate Stock</v>
      </c>
      <c r="G371" s="2" t="s">
        <v>517</v>
      </c>
      <c r="H371" s="2" t="s">
        <v>521</v>
      </c>
      <c r="I371" s="2">
        <v>7</v>
      </c>
      <c r="J371" s="2" t="s">
        <v>526</v>
      </c>
      <c r="K371" s="2">
        <v>127.35</v>
      </c>
      <c r="L371" s="2">
        <f>Table24[[#This Row],[QuantityInStock]]*Table24[[#This Row],[UnitCost]]</f>
        <v>27380.25</v>
      </c>
    </row>
    <row r="372" spans="1:12" x14ac:dyDescent="0.3">
      <c r="A372" s="2" t="s">
        <v>379</v>
      </c>
      <c r="B372" s="2" t="s">
        <v>513</v>
      </c>
      <c r="C372" s="2" t="str">
        <f>_xlfn.XLOOKUP(Table24[[#This Row],[ProductName]],Table4[Product name],Table4[Category],"Not Found",0)</f>
        <v>Electronics</v>
      </c>
      <c r="D372" s="2">
        <v>307</v>
      </c>
      <c r="E372" s="2">
        <v>52</v>
      </c>
      <c r="F372" s="2" t="str" cm="1">
        <f t="array" ref="F372">_xlfn.IFS(Table24[[#This Row],[QuantityInStock]]&lt;=Table24[[#This Row],[ReorderPoint]],"Low Stock",Table24[[#This Row],[QuantityInStock]]&gt;Table24[[#This Row],[ReorderPoint]],"Adequate Stock",Table24[[#This Row],[QuantityInStock]]=0,"Out Of Stock")</f>
        <v>Adequate Stock</v>
      </c>
      <c r="G372" s="2" t="s">
        <v>517</v>
      </c>
      <c r="H372" s="2" t="s">
        <v>521</v>
      </c>
      <c r="I372" s="2">
        <v>14</v>
      </c>
      <c r="J372" s="2" t="s">
        <v>524</v>
      </c>
      <c r="K372" s="2">
        <v>159.83000000000001</v>
      </c>
      <c r="L372" s="2">
        <f>Table24[[#This Row],[QuantityInStock]]*Table24[[#This Row],[UnitCost]]</f>
        <v>49067.810000000005</v>
      </c>
    </row>
    <row r="373" spans="1:12" x14ac:dyDescent="0.3">
      <c r="A373" s="2" t="s">
        <v>380</v>
      </c>
      <c r="B373" s="2" t="s">
        <v>513</v>
      </c>
      <c r="C373" s="2" t="str">
        <f>_xlfn.XLOOKUP(Table24[[#This Row],[ProductName]],Table4[Product name],Table4[Category],"Not Found",0)</f>
        <v>Electronics</v>
      </c>
      <c r="D373" s="2">
        <v>22</v>
      </c>
      <c r="E373" s="2">
        <v>76</v>
      </c>
      <c r="F373" s="2" t="str" cm="1">
        <f t="array" ref="F373">_xlfn.IFS(Table24[[#This Row],[QuantityInStock]]&lt;=Table24[[#This Row],[ReorderPoint]],"Low Stock",Table24[[#This Row],[QuantityInStock]]&gt;Table24[[#This Row],[ReorderPoint]],"Adequate Stock",Table24[[#This Row],[QuantityInStock]]=0,"Out Of Stock")</f>
        <v>Low Stock</v>
      </c>
      <c r="G373" s="2" t="s">
        <v>519</v>
      </c>
      <c r="H373" s="2" t="s">
        <v>523</v>
      </c>
      <c r="I373" s="2">
        <v>4</v>
      </c>
      <c r="J373" s="2" t="s">
        <v>528</v>
      </c>
      <c r="K373" s="2">
        <v>169.81</v>
      </c>
      <c r="L373" s="2">
        <f>Table24[[#This Row],[QuantityInStock]]*Table24[[#This Row],[UnitCost]]</f>
        <v>3735.82</v>
      </c>
    </row>
    <row r="374" spans="1:12" x14ac:dyDescent="0.3">
      <c r="A374" s="2" t="s">
        <v>381</v>
      </c>
      <c r="B374" s="2" t="s">
        <v>512</v>
      </c>
      <c r="C374" s="2" t="str">
        <f>_xlfn.XLOOKUP(Table24[[#This Row],[ProductName]],Table4[Product name],Table4[Category],"Not Found",0)</f>
        <v>Furniture</v>
      </c>
      <c r="D374" s="2">
        <v>269</v>
      </c>
      <c r="E374" s="2">
        <v>82</v>
      </c>
      <c r="F374" s="2" t="str" cm="1">
        <f t="array" ref="F374">_xlfn.IFS(Table24[[#This Row],[QuantityInStock]]&lt;=Table24[[#This Row],[ReorderPoint]],"Low Stock",Table24[[#This Row],[QuantityInStock]]&gt;Table24[[#This Row],[ReorderPoint]],"Adequate Stock",Table24[[#This Row],[QuantityInStock]]=0,"Out Of Stock")</f>
        <v>Adequate Stock</v>
      </c>
      <c r="G374" s="2" t="s">
        <v>519</v>
      </c>
      <c r="H374" s="2" t="s">
        <v>523</v>
      </c>
      <c r="I374" s="2">
        <v>19</v>
      </c>
      <c r="J374" s="2" t="s">
        <v>528</v>
      </c>
      <c r="K374" s="2">
        <v>196.27</v>
      </c>
      <c r="L374" s="2">
        <f>Table24[[#This Row],[QuantityInStock]]*Table24[[#This Row],[UnitCost]]</f>
        <v>52796.630000000005</v>
      </c>
    </row>
    <row r="375" spans="1:12" x14ac:dyDescent="0.3">
      <c r="A375" s="2" t="s">
        <v>382</v>
      </c>
      <c r="B375" s="2" t="s">
        <v>509</v>
      </c>
      <c r="C375" s="2" t="str">
        <f>_xlfn.XLOOKUP(Table24[[#This Row],[ProductName]],Table4[Product name],Table4[Category],"Not Found",0)</f>
        <v>Electronics</v>
      </c>
      <c r="D375" s="2">
        <v>93</v>
      </c>
      <c r="E375" s="2">
        <v>37</v>
      </c>
      <c r="F375" s="2" t="str" cm="1">
        <f t="array" ref="F375">_xlfn.IFS(Table24[[#This Row],[QuantityInStock]]&lt;=Table24[[#This Row],[ReorderPoint]],"Low Stock",Table24[[#This Row],[QuantityInStock]]&gt;Table24[[#This Row],[ReorderPoint]],"Adequate Stock",Table24[[#This Row],[QuantityInStock]]=0,"Out Of Stock")</f>
        <v>Adequate Stock</v>
      </c>
      <c r="G375" s="2" t="s">
        <v>517</v>
      </c>
      <c r="H375" s="2" t="s">
        <v>521</v>
      </c>
      <c r="I375" s="2">
        <v>8</v>
      </c>
      <c r="J375" s="2" t="s">
        <v>524</v>
      </c>
      <c r="K375" s="2">
        <v>191.94</v>
      </c>
      <c r="L375" s="2">
        <f>Table24[[#This Row],[QuantityInStock]]*Table24[[#This Row],[UnitCost]]</f>
        <v>17850.419999999998</v>
      </c>
    </row>
    <row r="376" spans="1:12" x14ac:dyDescent="0.3">
      <c r="A376" s="2" t="s">
        <v>383</v>
      </c>
      <c r="B376" s="2" t="s">
        <v>513</v>
      </c>
      <c r="C376" s="2" t="str">
        <f>_xlfn.XLOOKUP(Table24[[#This Row],[ProductName]],Table4[Product name],Table4[Category],"Not Found",0)</f>
        <v>Electronics</v>
      </c>
      <c r="D376" s="2">
        <v>73</v>
      </c>
      <c r="E376" s="2">
        <v>40</v>
      </c>
      <c r="F376" s="2" t="str" cm="1">
        <f t="array" ref="F376">_xlfn.IFS(Table24[[#This Row],[QuantityInStock]]&lt;=Table24[[#This Row],[ReorderPoint]],"Low Stock",Table24[[#This Row],[QuantityInStock]]&gt;Table24[[#This Row],[ReorderPoint]],"Adequate Stock",Table24[[#This Row],[QuantityInStock]]=0,"Out Of Stock")</f>
        <v>Adequate Stock</v>
      </c>
      <c r="G376" s="2" t="s">
        <v>519</v>
      </c>
      <c r="H376" s="2" t="s">
        <v>523</v>
      </c>
      <c r="I376" s="2">
        <v>8</v>
      </c>
      <c r="J376" s="2" t="s">
        <v>525</v>
      </c>
      <c r="K376" s="2">
        <v>177.9</v>
      </c>
      <c r="L376" s="2">
        <f>Table24[[#This Row],[QuantityInStock]]*Table24[[#This Row],[UnitCost]]</f>
        <v>12986.7</v>
      </c>
    </row>
    <row r="377" spans="1:12" x14ac:dyDescent="0.3">
      <c r="A377" s="2" t="s">
        <v>384</v>
      </c>
      <c r="B377" s="2" t="s">
        <v>510</v>
      </c>
      <c r="C377" s="2" t="str">
        <f>_xlfn.XLOOKUP(Table24[[#This Row],[ProductName]],Table4[Product name],Table4[Category],"Not Found",0)</f>
        <v>Electronics</v>
      </c>
      <c r="D377" s="2">
        <v>194</v>
      </c>
      <c r="E377" s="2">
        <v>80</v>
      </c>
      <c r="F377" s="2" t="str" cm="1">
        <f t="array" ref="F377">_xlfn.IFS(Table24[[#This Row],[QuantityInStock]]&lt;=Table24[[#This Row],[ReorderPoint]],"Low Stock",Table24[[#This Row],[QuantityInStock]]&gt;Table24[[#This Row],[ReorderPoint]],"Adequate Stock",Table24[[#This Row],[QuantityInStock]]=0,"Out Of Stock")</f>
        <v>Adequate Stock</v>
      </c>
      <c r="G377" s="2" t="s">
        <v>518</v>
      </c>
      <c r="H377" s="2" t="s">
        <v>522</v>
      </c>
      <c r="I377" s="2">
        <v>9</v>
      </c>
      <c r="J377" s="2" t="s">
        <v>528</v>
      </c>
      <c r="K377" s="2">
        <v>36.24</v>
      </c>
      <c r="L377" s="2">
        <f>Table24[[#This Row],[QuantityInStock]]*Table24[[#This Row],[UnitCost]]</f>
        <v>7030.56</v>
      </c>
    </row>
    <row r="378" spans="1:12" x14ac:dyDescent="0.3">
      <c r="A378" s="2" t="s">
        <v>385</v>
      </c>
      <c r="B378" s="2" t="s">
        <v>510</v>
      </c>
      <c r="C378" s="2" t="str">
        <f>_xlfn.XLOOKUP(Table24[[#This Row],[ProductName]],Table4[Product name],Table4[Category],"Not Found",0)</f>
        <v>Electronics</v>
      </c>
      <c r="D378" s="2">
        <v>403</v>
      </c>
      <c r="E378" s="2">
        <v>70</v>
      </c>
      <c r="F378" s="2" t="str" cm="1">
        <f t="array" ref="F378">_xlfn.IFS(Table24[[#This Row],[QuantityInStock]]&lt;=Table24[[#This Row],[ReorderPoint]],"Low Stock",Table24[[#This Row],[QuantityInStock]]&gt;Table24[[#This Row],[ReorderPoint]],"Adequate Stock",Table24[[#This Row],[QuantityInStock]]=0,"Out Of Stock")</f>
        <v>Adequate Stock</v>
      </c>
      <c r="G378" s="2" t="s">
        <v>519</v>
      </c>
      <c r="H378" s="2" t="s">
        <v>523</v>
      </c>
      <c r="I378" s="2">
        <v>17</v>
      </c>
      <c r="J378" s="2" t="s">
        <v>528</v>
      </c>
      <c r="K378" s="2">
        <v>181.71</v>
      </c>
      <c r="L378" s="2">
        <f>Table24[[#This Row],[QuantityInStock]]*Table24[[#This Row],[UnitCost]]</f>
        <v>73229.13</v>
      </c>
    </row>
    <row r="379" spans="1:12" x14ac:dyDescent="0.3">
      <c r="A379" s="2" t="s">
        <v>386</v>
      </c>
      <c r="B379" s="2" t="s">
        <v>512</v>
      </c>
      <c r="C379" s="2" t="str">
        <f>_xlfn.XLOOKUP(Table24[[#This Row],[ProductName]],Table4[Product name],Table4[Category],"Not Found",0)</f>
        <v>Furniture</v>
      </c>
      <c r="D379" s="2">
        <v>191</v>
      </c>
      <c r="E379" s="2">
        <v>31</v>
      </c>
      <c r="F379" s="2" t="str" cm="1">
        <f t="array" ref="F379">_xlfn.IFS(Table24[[#This Row],[QuantityInStock]]&lt;=Table24[[#This Row],[ReorderPoint]],"Low Stock",Table24[[#This Row],[QuantityInStock]]&gt;Table24[[#This Row],[ReorderPoint]],"Adequate Stock",Table24[[#This Row],[QuantityInStock]]=0,"Out Of Stock")</f>
        <v>Adequate Stock</v>
      </c>
      <c r="G379" s="2" t="s">
        <v>519</v>
      </c>
      <c r="H379" s="2" t="s">
        <v>523</v>
      </c>
      <c r="I379" s="2">
        <v>9</v>
      </c>
      <c r="J379" s="2" t="s">
        <v>524</v>
      </c>
      <c r="K379" s="2">
        <v>83.41</v>
      </c>
      <c r="L379" s="2">
        <f>Table24[[#This Row],[QuantityInStock]]*Table24[[#This Row],[UnitCost]]</f>
        <v>15931.31</v>
      </c>
    </row>
    <row r="380" spans="1:12" x14ac:dyDescent="0.3">
      <c r="A380" s="2" t="s">
        <v>387</v>
      </c>
      <c r="B380" s="2" t="s">
        <v>509</v>
      </c>
      <c r="C380" s="2" t="str">
        <f>_xlfn.XLOOKUP(Table24[[#This Row],[ProductName]],Table4[Product name],Table4[Category],"Not Found",0)</f>
        <v>Electronics</v>
      </c>
      <c r="D380" s="2">
        <v>139</v>
      </c>
      <c r="E380" s="2">
        <v>23</v>
      </c>
      <c r="F380" s="2" t="str" cm="1">
        <f t="array" ref="F380">_xlfn.IFS(Table24[[#This Row],[QuantityInStock]]&lt;=Table24[[#This Row],[ReorderPoint]],"Low Stock",Table24[[#This Row],[QuantityInStock]]&gt;Table24[[#This Row],[ReorderPoint]],"Adequate Stock",Table24[[#This Row],[QuantityInStock]]=0,"Out Of Stock")</f>
        <v>Adequate Stock</v>
      </c>
      <c r="G380" s="2" t="s">
        <v>516</v>
      </c>
      <c r="H380" s="2" t="s">
        <v>520</v>
      </c>
      <c r="I380" s="2">
        <v>5</v>
      </c>
      <c r="J380" s="2" t="s">
        <v>527</v>
      </c>
      <c r="K380" s="2">
        <v>160.01</v>
      </c>
      <c r="L380" s="2">
        <f>Table24[[#This Row],[QuantityInStock]]*Table24[[#This Row],[UnitCost]]</f>
        <v>22241.39</v>
      </c>
    </row>
    <row r="381" spans="1:12" x14ac:dyDescent="0.3">
      <c r="A381" s="2" t="s">
        <v>388</v>
      </c>
      <c r="B381" s="2" t="s">
        <v>509</v>
      </c>
      <c r="C381" s="2" t="str">
        <f>_xlfn.XLOOKUP(Table24[[#This Row],[ProductName]],Table4[Product name],Table4[Category],"Not Found",0)</f>
        <v>Electronics</v>
      </c>
      <c r="D381" s="2">
        <v>160</v>
      </c>
      <c r="E381" s="2">
        <v>48</v>
      </c>
      <c r="F381" s="2" t="str" cm="1">
        <f t="array" ref="F381">_xlfn.IFS(Table24[[#This Row],[QuantityInStock]]&lt;=Table24[[#This Row],[ReorderPoint]],"Low Stock",Table24[[#This Row],[QuantityInStock]]&gt;Table24[[#This Row],[ReorderPoint]],"Adequate Stock",Table24[[#This Row],[QuantityInStock]]=0,"Out Of Stock")</f>
        <v>Adequate Stock</v>
      </c>
      <c r="G381" s="2" t="s">
        <v>517</v>
      </c>
      <c r="H381" s="2" t="s">
        <v>521</v>
      </c>
      <c r="I381" s="2">
        <v>13</v>
      </c>
      <c r="J381" s="2" t="s">
        <v>527</v>
      </c>
      <c r="K381" s="2">
        <v>114.95</v>
      </c>
      <c r="L381" s="2">
        <f>Table24[[#This Row],[QuantityInStock]]*Table24[[#This Row],[UnitCost]]</f>
        <v>18392</v>
      </c>
    </row>
    <row r="382" spans="1:12" x14ac:dyDescent="0.3">
      <c r="A382" s="2" t="s">
        <v>389</v>
      </c>
      <c r="B382" s="2" t="s">
        <v>511</v>
      </c>
      <c r="C382" s="2" t="str">
        <f>_xlfn.XLOOKUP(Table24[[#This Row],[ProductName]],Table4[Product name],Table4[Category],"Not Found",0)</f>
        <v>Electronics</v>
      </c>
      <c r="D382" s="2">
        <v>106</v>
      </c>
      <c r="E382" s="2">
        <v>67</v>
      </c>
      <c r="F382" s="2" t="str" cm="1">
        <f t="array" ref="F382">_xlfn.IFS(Table24[[#This Row],[QuantityInStock]]&lt;=Table24[[#This Row],[ReorderPoint]],"Low Stock",Table24[[#This Row],[QuantityInStock]]&gt;Table24[[#This Row],[ReorderPoint]],"Adequate Stock",Table24[[#This Row],[QuantityInStock]]=0,"Out Of Stock")</f>
        <v>Adequate Stock</v>
      </c>
      <c r="G382" s="2" t="s">
        <v>518</v>
      </c>
      <c r="H382" s="2" t="s">
        <v>522</v>
      </c>
      <c r="I382" s="2">
        <v>19</v>
      </c>
      <c r="J382" s="2" t="s">
        <v>526</v>
      </c>
      <c r="K382" s="2">
        <v>197.68</v>
      </c>
      <c r="L382" s="2">
        <f>Table24[[#This Row],[QuantityInStock]]*Table24[[#This Row],[UnitCost]]</f>
        <v>20954.080000000002</v>
      </c>
    </row>
    <row r="383" spans="1:12" x14ac:dyDescent="0.3">
      <c r="A383" s="2" t="s">
        <v>390</v>
      </c>
      <c r="B383" s="2" t="s">
        <v>509</v>
      </c>
      <c r="C383" s="2" t="str">
        <f>_xlfn.XLOOKUP(Table24[[#This Row],[ProductName]],Table4[Product name],Table4[Category],"Not Found",0)</f>
        <v>Electronics</v>
      </c>
      <c r="D383" s="2">
        <v>299</v>
      </c>
      <c r="E383" s="2">
        <v>21</v>
      </c>
      <c r="F383" s="2" t="str" cm="1">
        <f t="array" ref="F383">_xlfn.IFS(Table24[[#This Row],[QuantityInStock]]&lt;=Table24[[#This Row],[ReorderPoint]],"Low Stock",Table24[[#This Row],[QuantityInStock]]&gt;Table24[[#This Row],[ReorderPoint]],"Adequate Stock",Table24[[#This Row],[QuantityInStock]]=0,"Out Of Stock")</f>
        <v>Adequate Stock</v>
      </c>
      <c r="G383" s="2" t="s">
        <v>517</v>
      </c>
      <c r="H383" s="2" t="s">
        <v>521</v>
      </c>
      <c r="I383" s="2">
        <v>3</v>
      </c>
      <c r="J383" s="2" t="s">
        <v>527</v>
      </c>
      <c r="K383" s="2">
        <v>100.05</v>
      </c>
      <c r="L383" s="2">
        <f>Table24[[#This Row],[QuantityInStock]]*Table24[[#This Row],[UnitCost]]</f>
        <v>29914.95</v>
      </c>
    </row>
    <row r="384" spans="1:12" x14ac:dyDescent="0.3">
      <c r="A384" s="2" t="s">
        <v>391</v>
      </c>
      <c r="B384" s="2" t="s">
        <v>512</v>
      </c>
      <c r="C384" s="2" t="str">
        <f>_xlfn.XLOOKUP(Table24[[#This Row],[ProductName]],Table4[Product name],Table4[Category],"Not Found",0)</f>
        <v>Furniture</v>
      </c>
      <c r="D384" s="2">
        <v>444</v>
      </c>
      <c r="E384" s="2">
        <v>46</v>
      </c>
      <c r="F384" s="2" t="str" cm="1">
        <f t="array" ref="F384">_xlfn.IFS(Table24[[#This Row],[QuantityInStock]]&lt;=Table24[[#This Row],[ReorderPoint]],"Low Stock",Table24[[#This Row],[QuantityInStock]]&gt;Table24[[#This Row],[ReorderPoint]],"Adequate Stock",Table24[[#This Row],[QuantityInStock]]=0,"Out Of Stock")</f>
        <v>Adequate Stock</v>
      </c>
      <c r="G384" s="2" t="s">
        <v>518</v>
      </c>
      <c r="H384" s="2" t="s">
        <v>522</v>
      </c>
      <c r="I384" s="2">
        <v>20</v>
      </c>
      <c r="J384" s="2" t="s">
        <v>526</v>
      </c>
      <c r="K384" s="2">
        <v>129.32</v>
      </c>
      <c r="L384" s="2">
        <f>Table24[[#This Row],[QuantityInStock]]*Table24[[#This Row],[UnitCost]]</f>
        <v>57418.079999999994</v>
      </c>
    </row>
    <row r="385" spans="1:12" x14ac:dyDescent="0.3">
      <c r="A385" s="2" t="s">
        <v>392</v>
      </c>
      <c r="B385" s="2" t="s">
        <v>515</v>
      </c>
      <c r="C385" s="2" t="str">
        <f>_xlfn.XLOOKUP(Table24[[#This Row],[ProductName]],Table4[Product name],Table4[Category],"Not Found",0)</f>
        <v>Electronics</v>
      </c>
      <c r="D385" s="2">
        <v>247</v>
      </c>
      <c r="E385" s="2">
        <v>56</v>
      </c>
      <c r="F385" s="2" t="str" cm="1">
        <f t="array" ref="F385">_xlfn.IFS(Table24[[#This Row],[QuantityInStock]]&lt;=Table24[[#This Row],[ReorderPoint]],"Low Stock",Table24[[#This Row],[QuantityInStock]]&gt;Table24[[#This Row],[ReorderPoint]],"Adequate Stock",Table24[[#This Row],[QuantityInStock]]=0,"Out Of Stock")</f>
        <v>Adequate Stock</v>
      </c>
      <c r="G385" s="2" t="s">
        <v>518</v>
      </c>
      <c r="H385" s="2" t="s">
        <v>522</v>
      </c>
      <c r="I385" s="2">
        <v>5</v>
      </c>
      <c r="J385" s="2" t="s">
        <v>526</v>
      </c>
      <c r="K385" s="2">
        <v>143.94</v>
      </c>
      <c r="L385" s="2">
        <f>Table24[[#This Row],[QuantityInStock]]*Table24[[#This Row],[UnitCost]]</f>
        <v>35553.18</v>
      </c>
    </row>
    <row r="386" spans="1:12" x14ac:dyDescent="0.3">
      <c r="A386" s="2" t="s">
        <v>393</v>
      </c>
      <c r="B386" s="2" t="s">
        <v>514</v>
      </c>
      <c r="C386" s="2" t="str">
        <f>_xlfn.XLOOKUP(Table24[[#This Row],[ProductName]],Table4[Product name],Table4[Category],"Not Found",0)</f>
        <v>Furniture</v>
      </c>
      <c r="D386" s="2">
        <v>142</v>
      </c>
      <c r="E386" s="2">
        <v>83</v>
      </c>
      <c r="F386" s="2" t="str" cm="1">
        <f t="array" ref="F386">_xlfn.IFS(Table24[[#This Row],[QuantityInStock]]&lt;=Table24[[#This Row],[ReorderPoint]],"Low Stock",Table24[[#This Row],[QuantityInStock]]&gt;Table24[[#This Row],[ReorderPoint]],"Adequate Stock",Table24[[#This Row],[QuantityInStock]]=0,"Out Of Stock")</f>
        <v>Adequate Stock</v>
      </c>
      <c r="G386" s="2" t="s">
        <v>518</v>
      </c>
      <c r="H386" s="2" t="s">
        <v>522</v>
      </c>
      <c r="I386" s="2">
        <v>9</v>
      </c>
      <c r="J386" s="2" t="s">
        <v>527</v>
      </c>
      <c r="K386" s="2">
        <v>170.89</v>
      </c>
      <c r="L386" s="2">
        <f>Table24[[#This Row],[QuantityInStock]]*Table24[[#This Row],[UnitCost]]</f>
        <v>24266.379999999997</v>
      </c>
    </row>
    <row r="387" spans="1:12" x14ac:dyDescent="0.3">
      <c r="A387" s="2" t="s">
        <v>394</v>
      </c>
      <c r="B387" s="2" t="s">
        <v>514</v>
      </c>
      <c r="C387" s="2" t="str">
        <f>_xlfn.XLOOKUP(Table24[[#This Row],[ProductName]],Table4[Product name],Table4[Category],"Not Found",0)</f>
        <v>Furniture</v>
      </c>
      <c r="D387" s="2">
        <v>66</v>
      </c>
      <c r="E387" s="2">
        <v>24</v>
      </c>
      <c r="F387" s="2" t="str" cm="1">
        <f t="array" ref="F387">_xlfn.IFS(Table24[[#This Row],[QuantityInStock]]&lt;=Table24[[#This Row],[ReorderPoint]],"Low Stock",Table24[[#This Row],[QuantityInStock]]&gt;Table24[[#This Row],[ReorderPoint]],"Adequate Stock",Table24[[#This Row],[QuantityInStock]]=0,"Out Of Stock")</f>
        <v>Adequate Stock</v>
      </c>
      <c r="G387" s="2" t="s">
        <v>518</v>
      </c>
      <c r="H387" s="2" t="s">
        <v>522</v>
      </c>
      <c r="I387" s="2">
        <v>6</v>
      </c>
      <c r="J387" s="2" t="s">
        <v>524</v>
      </c>
      <c r="K387" s="2">
        <v>182.92</v>
      </c>
      <c r="L387" s="2">
        <f>Table24[[#This Row],[QuantityInStock]]*Table24[[#This Row],[UnitCost]]</f>
        <v>12072.72</v>
      </c>
    </row>
    <row r="388" spans="1:12" x14ac:dyDescent="0.3">
      <c r="A388" s="2" t="s">
        <v>395</v>
      </c>
      <c r="B388" s="2" t="s">
        <v>514</v>
      </c>
      <c r="C388" s="2" t="str">
        <f>_xlfn.XLOOKUP(Table24[[#This Row],[ProductName]],Table4[Product name],Table4[Category],"Not Found",0)</f>
        <v>Furniture</v>
      </c>
      <c r="D388" s="2">
        <v>32</v>
      </c>
      <c r="E388" s="2">
        <v>85</v>
      </c>
      <c r="F388" s="2" t="str" cm="1">
        <f t="array" ref="F388">_xlfn.IFS(Table24[[#This Row],[QuantityInStock]]&lt;=Table24[[#This Row],[ReorderPoint]],"Low Stock",Table24[[#This Row],[QuantityInStock]]&gt;Table24[[#This Row],[ReorderPoint]],"Adequate Stock",Table24[[#This Row],[QuantityInStock]]=0,"Out Of Stock")</f>
        <v>Low Stock</v>
      </c>
      <c r="G388" s="2" t="s">
        <v>517</v>
      </c>
      <c r="H388" s="2" t="s">
        <v>521</v>
      </c>
      <c r="I388" s="2">
        <v>12</v>
      </c>
      <c r="J388" s="2" t="s">
        <v>526</v>
      </c>
      <c r="K388" s="2">
        <v>50.27</v>
      </c>
      <c r="L388" s="2">
        <f>Table24[[#This Row],[QuantityInStock]]*Table24[[#This Row],[UnitCost]]</f>
        <v>1608.64</v>
      </c>
    </row>
    <row r="389" spans="1:12" x14ac:dyDescent="0.3">
      <c r="A389" s="2" t="s">
        <v>396</v>
      </c>
      <c r="B389" s="2" t="s">
        <v>514</v>
      </c>
      <c r="C389" s="2" t="str">
        <f>_xlfn.XLOOKUP(Table24[[#This Row],[ProductName]],Table4[Product name],Table4[Category],"Not Found",0)</f>
        <v>Furniture</v>
      </c>
      <c r="D389" s="2">
        <v>0</v>
      </c>
      <c r="E389" s="2">
        <v>98</v>
      </c>
      <c r="F389" s="2" t="str" cm="1">
        <f t="array" ref="F389">_xlfn.IFS(Table24[[#This Row],[QuantityInStock]]&lt;=Table24[[#This Row],[ReorderPoint]],"Low Stock",Table24[[#This Row],[QuantityInStock]]&gt;Table24[[#This Row],[ReorderPoint]],"Adequate Stock",Table24[[#This Row],[QuantityInStock]]=0,"Out Of Stock")</f>
        <v>Low Stock</v>
      </c>
      <c r="G389" s="2" t="s">
        <v>518</v>
      </c>
      <c r="H389" s="2" t="s">
        <v>522</v>
      </c>
      <c r="I389" s="2">
        <v>16</v>
      </c>
      <c r="J389" s="2" t="s">
        <v>528</v>
      </c>
      <c r="K389" s="2">
        <v>135.5</v>
      </c>
      <c r="L389" s="2">
        <f>Table24[[#This Row],[QuantityInStock]]*Table24[[#This Row],[UnitCost]]</f>
        <v>0</v>
      </c>
    </row>
    <row r="390" spans="1:12" x14ac:dyDescent="0.3">
      <c r="A390" s="2" t="s">
        <v>397</v>
      </c>
      <c r="B390" s="2" t="s">
        <v>514</v>
      </c>
      <c r="C390" s="2" t="str">
        <f>_xlfn.XLOOKUP(Table24[[#This Row],[ProductName]],Table4[Product name],Table4[Category],"Not Found",0)</f>
        <v>Furniture</v>
      </c>
      <c r="D390" s="2">
        <v>228</v>
      </c>
      <c r="E390" s="2">
        <v>49</v>
      </c>
      <c r="F390" s="2" t="str" cm="1">
        <f t="array" ref="F390">_xlfn.IFS(Table24[[#This Row],[QuantityInStock]]&lt;=Table24[[#This Row],[ReorderPoint]],"Low Stock",Table24[[#This Row],[QuantityInStock]]&gt;Table24[[#This Row],[ReorderPoint]],"Adequate Stock",Table24[[#This Row],[QuantityInStock]]=0,"Out Of Stock")</f>
        <v>Adequate Stock</v>
      </c>
      <c r="G390" s="2" t="s">
        <v>518</v>
      </c>
      <c r="H390" s="2" t="s">
        <v>522</v>
      </c>
      <c r="I390" s="2">
        <v>4</v>
      </c>
      <c r="J390" s="2" t="s">
        <v>525</v>
      </c>
      <c r="K390" s="2">
        <v>197.42</v>
      </c>
      <c r="L390" s="2">
        <f>Table24[[#This Row],[QuantityInStock]]*Table24[[#This Row],[UnitCost]]</f>
        <v>45011.759999999995</v>
      </c>
    </row>
    <row r="391" spans="1:12" x14ac:dyDescent="0.3">
      <c r="A391" s="2" t="s">
        <v>398</v>
      </c>
      <c r="B391" s="2" t="s">
        <v>511</v>
      </c>
      <c r="C391" s="2" t="str">
        <f>_xlfn.XLOOKUP(Table24[[#This Row],[ProductName]],Table4[Product name],Table4[Category],"Not Found",0)</f>
        <v>Electronics</v>
      </c>
      <c r="D391" s="2">
        <v>205</v>
      </c>
      <c r="E391" s="2">
        <v>38</v>
      </c>
      <c r="F391" s="2" t="str" cm="1">
        <f t="array" ref="F391">_xlfn.IFS(Table24[[#This Row],[QuantityInStock]]&lt;=Table24[[#This Row],[ReorderPoint]],"Low Stock",Table24[[#This Row],[QuantityInStock]]&gt;Table24[[#This Row],[ReorderPoint]],"Adequate Stock",Table24[[#This Row],[QuantityInStock]]=0,"Out Of Stock")</f>
        <v>Adequate Stock</v>
      </c>
      <c r="G391" s="2" t="s">
        <v>519</v>
      </c>
      <c r="H391" s="2" t="s">
        <v>523</v>
      </c>
      <c r="I391" s="2">
        <v>18</v>
      </c>
      <c r="J391" s="2" t="s">
        <v>524</v>
      </c>
      <c r="K391" s="2">
        <v>158.4</v>
      </c>
      <c r="L391" s="2">
        <f>Table24[[#This Row],[QuantityInStock]]*Table24[[#This Row],[UnitCost]]</f>
        <v>32472</v>
      </c>
    </row>
    <row r="392" spans="1:12" x14ac:dyDescent="0.3">
      <c r="A392" s="2" t="s">
        <v>399</v>
      </c>
      <c r="B392" s="2" t="s">
        <v>511</v>
      </c>
      <c r="C392" s="2" t="str">
        <f>_xlfn.XLOOKUP(Table24[[#This Row],[ProductName]],Table4[Product name],Table4[Category],"Not Found",0)</f>
        <v>Electronics</v>
      </c>
      <c r="D392" s="2">
        <v>177</v>
      </c>
      <c r="E392" s="2">
        <v>31</v>
      </c>
      <c r="F392" s="2" t="str" cm="1">
        <f t="array" ref="F392">_xlfn.IFS(Table24[[#This Row],[QuantityInStock]]&lt;=Table24[[#This Row],[ReorderPoint]],"Low Stock",Table24[[#This Row],[QuantityInStock]]&gt;Table24[[#This Row],[ReorderPoint]],"Adequate Stock",Table24[[#This Row],[QuantityInStock]]=0,"Out Of Stock")</f>
        <v>Adequate Stock</v>
      </c>
      <c r="G392" s="2" t="s">
        <v>518</v>
      </c>
      <c r="H392" s="2" t="s">
        <v>522</v>
      </c>
      <c r="I392" s="2">
        <v>14</v>
      </c>
      <c r="J392" s="2" t="s">
        <v>527</v>
      </c>
      <c r="K392" s="2">
        <v>150.27000000000001</v>
      </c>
      <c r="L392" s="2">
        <f>Table24[[#This Row],[QuantityInStock]]*Table24[[#This Row],[UnitCost]]</f>
        <v>26597.79</v>
      </c>
    </row>
    <row r="393" spans="1:12" x14ac:dyDescent="0.3">
      <c r="A393" s="2" t="s">
        <v>400</v>
      </c>
      <c r="B393" s="2" t="s">
        <v>511</v>
      </c>
      <c r="C393" s="2" t="str">
        <f>_xlfn.XLOOKUP(Table24[[#This Row],[ProductName]],Table4[Product name],Table4[Category],"Not Found",0)</f>
        <v>Electronics</v>
      </c>
      <c r="D393" s="2">
        <v>126</v>
      </c>
      <c r="E393" s="2">
        <v>95</v>
      </c>
      <c r="F393" s="2" t="str" cm="1">
        <f t="array" ref="F393">_xlfn.IFS(Table24[[#This Row],[QuantityInStock]]&lt;=Table24[[#This Row],[ReorderPoint]],"Low Stock",Table24[[#This Row],[QuantityInStock]]&gt;Table24[[#This Row],[ReorderPoint]],"Adequate Stock",Table24[[#This Row],[QuantityInStock]]=0,"Out Of Stock")</f>
        <v>Adequate Stock</v>
      </c>
      <c r="G393" s="2" t="s">
        <v>518</v>
      </c>
      <c r="H393" s="2" t="s">
        <v>522</v>
      </c>
      <c r="I393" s="2">
        <v>7</v>
      </c>
      <c r="J393" s="2" t="s">
        <v>528</v>
      </c>
      <c r="K393" s="2">
        <v>159.91</v>
      </c>
      <c r="L393" s="2">
        <f>Table24[[#This Row],[QuantityInStock]]*Table24[[#This Row],[UnitCost]]</f>
        <v>20148.66</v>
      </c>
    </row>
    <row r="394" spans="1:12" x14ac:dyDescent="0.3">
      <c r="A394" s="2" t="s">
        <v>401</v>
      </c>
      <c r="B394" s="2" t="s">
        <v>515</v>
      </c>
      <c r="C394" s="2" t="str">
        <f>_xlfn.XLOOKUP(Table24[[#This Row],[ProductName]],Table4[Product name],Table4[Category],"Not Found",0)</f>
        <v>Electronics</v>
      </c>
      <c r="D394" s="2">
        <v>410</v>
      </c>
      <c r="E394" s="2">
        <v>93</v>
      </c>
      <c r="F394" s="2" t="str" cm="1">
        <f t="array" ref="F394">_xlfn.IFS(Table24[[#This Row],[QuantityInStock]]&lt;=Table24[[#This Row],[ReorderPoint]],"Low Stock",Table24[[#This Row],[QuantityInStock]]&gt;Table24[[#This Row],[ReorderPoint]],"Adequate Stock",Table24[[#This Row],[QuantityInStock]]=0,"Out Of Stock")</f>
        <v>Adequate Stock</v>
      </c>
      <c r="G394" s="2" t="s">
        <v>516</v>
      </c>
      <c r="H394" s="2" t="s">
        <v>520</v>
      </c>
      <c r="I394" s="2">
        <v>8</v>
      </c>
      <c r="J394" s="2" t="s">
        <v>527</v>
      </c>
      <c r="K394" s="2">
        <v>21.58</v>
      </c>
      <c r="L394" s="2">
        <f>Table24[[#This Row],[QuantityInStock]]*Table24[[#This Row],[UnitCost]]</f>
        <v>8847.7999999999993</v>
      </c>
    </row>
    <row r="395" spans="1:12" x14ac:dyDescent="0.3">
      <c r="A395" s="2" t="s">
        <v>402</v>
      </c>
      <c r="B395" s="2" t="s">
        <v>510</v>
      </c>
      <c r="C395" s="2" t="str">
        <f>_xlfn.XLOOKUP(Table24[[#This Row],[ProductName]],Table4[Product name],Table4[Category],"Not Found",0)</f>
        <v>Electronics</v>
      </c>
      <c r="D395" s="2">
        <v>162</v>
      </c>
      <c r="E395" s="2">
        <v>78</v>
      </c>
      <c r="F395" s="2" t="str" cm="1">
        <f t="array" ref="F395">_xlfn.IFS(Table24[[#This Row],[QuantityInStock]]&lt;=Table24[[#This Row],[ReorderPoint]],"Low Stock",Table24[[#This Row],[QuantityInStock]]&gt;Table24[[#This Row],[ReorderPoint]],"Adequate Stock",Table24[[#This Row],[QuantityInStock]]=0,"Out Of Stock")</f>
        <v>Adequate Stock</v>
      </c>
      <c r="G395" s="2" t="s">
        <v>518</v>
      </c>
      <c r="H395" s="2" t="s">
        <v>522</v>
      </c>
      <c r="I395" s="2">
        <v>8</v>
      </c>
      <c r="J395" s="2" t="s">
        <v>526</v>
      </c>
      <c r="K395" s="2">
        <v>59.73</v>
      </c>
      <c r="L395" s="2">
        <f>Table24[[#This Row],[QuantityInStock]]*Table24[[#This Row],[UnitCost]]</f>
        <v>9676.26</v>
      </c>
    </row>
    <row r="396" spans="1:12" x14ac:dyDescent="0.3">
      <c r="A396" s="2" t="s">
        <v>403</v>
      </c>
      <c r="B396" s="2" t="s">
        <v>515</v>
      </c>
      <c r="C396" s="2" t="str">
        <f>_xlfn.XLOOKUP(Table24[[#This Row],[ProductName]],Table4[Product name],Table4[Category],"Not Found",0)</f>
        <v>Electronics</v>
      </c>
      <c r="D396" s="2">
        <v>142</v>
      </c>
      <c r="E396" s="2">
        <v>40</v>
      </c>
      <c r="F396" s="2" t="str" cm="1">
        <f t="array" ref="F396">_xlfn.IFS(Table24[[#This Row],[QuantityInStock]]&lt;=Table24[[#This Row],[ReorderPoint]],"Low Stock",Table24[[#This Row],[QuantityInStock]]&gt;Table24[[#This Row],[ReorderPoint]],"Adequate Stock",Table24[[#This Row],[QuantityInStock]]=0,"Out Of Stock")</f>
        <v>Adequate Stock</v>
      </c>
      <c r="G396" s="2" t="s">
        <v>519</v>
      </c>
      <c r="H396" s="2" t="s">
        <v>523</v>
      </c>
      <c r="I396" s="2">
        <v>10</v>
      </c>
      <c r="J396" s="2" t="s">
        <v>527</v>
      </c>
      <c r="K396" s="2">
        <v>29.98</v>
      </c>
      <c r="L396" s="2">
        <f>Table24[[#This Row],[QuantityInStock]]*Table24[[#This Row],[UnitCost]]</f>
        <v>4257.16</v>
      </c>
    </row>
    <row r="397" spans="1:12" x14ac:dyDescent="0.3">
      <c r="A397" s="2" t="s">
        <v>404</v>
      </c>
      <c r="B397" s="2" t="s">
        <v>509</v>
      </c>
      <c r="C397" s="2" t="str">
        <f>_xlfn.XLOOKUP(Table24[[#This Row],[ProductName]],Table4[Product name],Table4[Category],"Not Found",0)</f>
        <v>Electronics</v>
      </c>
      <c r="D397" s="2">
        <v>340</v>
      </c>
      <c r="E397" s="2">
        <v>58</v>
      </c>
      <c r="F397" s="2" t="str" cm="1">
        <f t="array" ref="F397">_xlfn.IFS(Table24[[#This Row],[QuantityInStock]]&lt;=Table24[[#This Row],[ReorderPoint]],"Low Stock",Table24[[#This Row],[QuantityInStock]]&gt;Table24[[#This Row],[ReorderPoint]],"Adequate Stock",Table24[[#This Row],[QuantityInStock]]=0,"Out Of Stock")</f>
        <v>Adequate Stock</v>
      </c>
      <c r="G397" s="2" t="s">
        <v>518</v>
      </c>
      <c r="H397" s="2" t="s">
        <v>522</v>
      </c>
      <c r="I397" s="2">
        <v>18</v>
      </c>
      <c r="J397" s="2" t="s">
        <v>525</v>
      </c>
      <c r="K397" s="2">
        <v>177.05</v>
      </c>
      <c r="L397" s="2">
        <f>Table24[[#This Row],[QuantityInStock]]*Table24[[#This Row],[UnitCost]]</f>
        <v>60197.000000000007</v>
      </c>
    </row>
    <row r="398" spans="1:12" x14ac:dyDescent="0.3">
      <c r="A398" s="2" t="s">
        <v>405</v>
      </c>
      <c r="B398" s="2" t="s">
        <v>511</v>
      </c>
      <c r="C398" s="2" t="str">
        <f>_xlfn.XLOOKUP(Table24[[#This Row],[ProductName]],Table4[Product name],Table4[Category],"Not Found",0)</f>
        <v>Electronics</v>
      </c>
      <c r="D398" s="2">
        <v>445</v>
      </c>
      <c r="E398" s="2">
        <v>30</v>
      </c>
      <c r="F398" s="2" t="str" cm="1">
        <f t="array" ref="F398">_xlfn.IFS(Table24[[#This Row],[QuantityInStock]]&lt;=Table24[[#This Row],[ReorderPoint]],"Low Stock",Table24[[#This Row],[QuantityInStock]]&gt;Table24[[#This Row],[ReorderPoint]],"Adequate Stock",Table24[[#This Row],[QuantityInStock]]=0,"Out Of Stock")</f>
        <v>Adequate Stock</v>
      </c>
      <c r="G398" s="2" t="s">
        <v>516</v>
      </c>
      <c r="H398" s="2" t="s">
        <v>520</v>
      </c>
      <c r="I398" s="2">
        <v>18</v>
      </c>
      <c r="J398" s="2" t="s">
        <v>526</v>
      </c>
      <c r="K398" s="2">
        <v>189.22</v>
      </c>
      <c r="L398" s="2">
        <f>Table24[[#This Row],[QuantityInStock]]*Table24[[#This Row],[UnitCost]]</f>
        <v>84202.9</v>
      </c>
    </row>
    <row r="399" spans="1:12" x14ac:dyDescent="0.3">
      <c r="A399" s="2" t="s">
        <v>406</v>
      </c>
      <c r="B399" s="2" t="s">
        <v>511</v>
      </c>
      <c r="C399" s="2" t="str">
        <f>_xlfn.XLOOKUP(Table24[[#This Row],[ProductName]],Table4[Product name],Table4[Category],"Not Found",0)</f>
        <v>Electronics</v>
      </c>
      <c r="D399" s="2">
        <v>59</v>
      </c>
      <c r="E399" s="2">
        <v>89</v>
      </c>
      <c r="F399" s="2" t="str" cm="1">
        <f t="array" ref="F399">_xlfn.IFS(Table24[[#This Row],[QuantityInStock]]&lt;=Table24[[#This Row],[ReorderPoint]],"Low Stock",Table24[[#This Row],[QuantityInStock]]&gt;Table24[[#This Row],[ReorderPoint]],"Adequate Stock",Table24[[#This Row],[QuantityInStock]]=0,"Out Of Stock")</f>
        <v>Low Stock</v>
      </c>
      <c r="G399" s="2" t="s">
        <v>519</v>
      </c>
      <c r="H399" s="2" t="s">
        <v>523</v>
      </c>
      <c r="I399" s="2">
        <v>10</v>
      </c>
      <c r="J399" s="2" t="s">
        <v>528</v>
      </c>
      <c r="K399" s="2">
        <v>130.96</v>
      </c>
      <c r="L399" s="2">
        <f>Table24[[#This Row],[QuantityInStock]]*Table24[[#This Row],[UnitCost]]</f>
        <v>7726.64</v>
      </c>
    </row>
    <row r="400" spans="1:12" x14ac:dyDescent="0.3">
      <c r="A400" s="2" t="s">
        <v>407</v>
      </c>
      <c r="B400" s="2" t="s">
        <v>509</v>
      </c>
      <c r="C400" s="2" t="str">
        <f>_xlfn.XLOOKUP(Table24[[#This Row],[ProductName]],Table4[Product name],Table4[Category],"Not Found",0)</f>
        <v>Electronics</v>
      </c>
      <c r="D400" s="2">
        <v>119</v>
      </c>
      <c r="E400" s="2">
        <v>61</v>
      </c>
      <c r="F400" s="2" t="str" cm="1">
        <f t="array" ref="F400">_xlfn.IFS(Table24[[#This Row],[QuantityInStock]]&lt;=Table24[[#This Row],[ReorderPoint]],"Low Stock",Table24[[#This Row],[QuantityInStock]]&gt;Table24[[#This Row],[ReorderPoint]],"Adequate Stock",Table24[[#This Row],[QuantityInStock]]=0,"Out Of Stock")</f>
        <v>Adequate Stock</v>
      </c>
      <c r="G400" s="2" t="s">
        <v>519</v>
      </c>
      <c r="H400" s="2" t="s">
        <v>523</v>
      </c>
      <c r="I400" s="2">
        <v>10</v>
      </c>
      <c r="J400" s="2" t="s">
        <v>525</v>
      </c>
      <c r="K400" s="2">
        <v>112.37</v>
      </c>
      <c r="L400" s="2">
        <f>Table24[[#This Row],[QuantityInStock]]*Table24[[#This Row],[UnitCost]]</f>
        <v>13372.03</v>
      </c>
    </row>
    <row r="401" spans="1:12" x14ac:dyDescent="0.3">
      <c r="A401" s="2" t="s">
        <v>408</v>
      </c>
      <c r="B401" s="2" t="s">
        <v>513</v>
      </c>
      <c r="C401" s="2" t="str">
        <f>_xlfn.XLOOKUP(Table24[[#This Row],[ProductName]],Table4[Product name],Table4[Category],"Not Found",0)</f>
        <v>Electronics</v>
      </c>
      <c r="D401" s="2">
        <v>331</v>
      </c>
      <c r="E401" s="2">
        <v>93</v>
      </c>
      <c r="F401" s="2" t="str" cm="1">
        <f t="array" ref="F401">_xlfn.IFS(Table24[[#This Row],[QuantityInStock]]&lt;=Table24[[#This Row],[ReorderPoint]],"Low Stock",Table24[[#This Row],[QuantityInStock]]&gt;Table24[[#This Row],[ReorderPoint]],"Adequate Stock",Table24[[#This Row],[QuantityInStock]]=0,"Out Of Stock")</f>
        <v>Adequate Stock</v>
      </c>
      <c r="G401" s="2" t="s">
        <v>518</v>
      </c>
      <c r="H401" s="2" t="s">
        <v>522</v>
      </c>
      <c r="I401" s="2">
        <v>19</v>
      </c>
      <c r="J401" s="2" t="s">
        <v>528</v>
      </c>
      <c r="K401" s="2">
        <v>19.41</v>
      </c>
      <c r="L401" s="2">
        <f>Table24[[#This Row],[QuantityInStock]]*Table24[[#This Row],[UnitCost]]</f>
        <v>6424.71</v>
      </c>
    </row>
    <row r="402" spans="1:12" x14ac:dyDescent="0.3">
      <c r="A402" s="2" t="s">
        <v>409</v>
      </c>
      <c r="B402" s="2" t="s">
        <v>512</v>
      </c>
      <c r="C402" s="2" t="str">
        <f>_xlfn.XLOOKUP(Table24[[#This Row],[ProductName]],Table4[Product name],Table4[Category],"Not Found",0)</f>
        <v>Furniture</v>
      </c>
      <c r="D402" s="2">
        <v>395</v>
      </c>
      <c r="E402" s="2">
        <v>31</v>
      </c>
      <c r="F402" s="2" t="str" cm="1">
        <f t="array" ref="F402">_xlfn.IFS(Table24[[#This Row],[QuantityInStock]]&lt;=Table24[[#This Row],[ReorderPoint]],"Low Stock",Table24[[#This Row],[QuantityInStock]]&gt;Table24[[#This Row],[ReorderPoint]],"Adequate Stock",Table24[[#This Row],[QuantityInStock]]=0,"Out Of Stock")</f>
        <v>Adequate Stock</v>
      </c>
      <c r="G402" s="2" t="s">
        <v>516</v>
      </c>
      <c r="H402" s="2" t="s">
        <v>520</v>
      </c>
      <c r="I402" s="2">
        <v>11</v>
      </c>
      <c r="J402" s="2" t="s">
        <v>524</v>
      </c>
      <c r="K402" s="2">
        <v>26.6</v>
      </c>
      <c r="L402" s="2">
        <f>Table24[[#This Row],[QuantityInStock]]*Table24[[#This Row],[UnitCost]]</f>
        <v>10507</v>
      </c>
    </row>
    <row r="403" spans="1:12" x14ac:dyDescent="0.3">
      <c r="A403" s="2" t="s">
        <v>410</v>
      </c>
      <c r="B403" s="2" t="s">
        <v>512</v>
      </c>
      <c r="C403" s="2" t="str">
        <f>_xlfn.XLOOKUP(Table24[[#This Row],[ProductName]],Table4[Product name],Table4[Category],"Not Found",0)</f>
        <v>Furniture</v>
      </c>
      <c r="D403" s="2">
        <v>293</v>
      </c>
      <c r="E403" s="2">
        <v>35</v>
      </c>
      <c r="F403" s="2" t="str" cm="1">
        <f t="array" ref="F403">_xlfn.IFS(Table24[[#This Row],[QuantityInStock]]&lt;=Table24[[#This Row],[ReorderPoint]],"Low Stock",Table24[[#This Row],[QuantityInStock]]&gt;Table24[[#This Row],[ReorderPoint]],"Adequate Stock",Table24[[#This Row],[QuantityInStock]]=0,"Out Of Stock")</f>
        <v>Adequate Stock</v>
      </c>
      <c r="G403" s="2" t="s">
        <v>519</v>
      </c>
      <c r="H403" s="2" t="s">
        <v>523</v>
      </c>
      <c r="I403" s="2">
        <v>20</v>
      </c>
      <c r="J403" s="2" t="s">
        <v>526</v>
      </c>
      <c r="K403" s="2">
        <v>148.72999999999999</v>
      </c>
      <c r="L403" s="2">
        <f>Table24[[#This Row],[QuantityInStock]]*Table24[[#This Row],[UnitCost]]</f>
        <v>43577.89</v>
      </c>
    </row>
    <row r="404" spans="1:12" x14ac:dyDescent="0.3">
      <c r="A404" s="2" t="s">
        <v>411</v>
      </c>
      <c r="B404" s="2" t="s">
        <v>512</v>
      </c>
      <c r="C404" s="2" t="str">
        <f>_xlfn.XLOOKUP(Table24[[#This Row],[ProductName]],Table4[Product name],Table4[Category],"Not Found",0)</f>
        <v>Furniture</v>
      </c>
      <c r="D404" s="2">
        <v>52</v>
      </c>
      <c r="E404" s="2">
        <v>54</v>
      </c>
      <c r="F404" s="2" t="str" cm="1">
        <f t="array" ref="F404">_xlfn.IFS(Table24[[#This Row],[QuantityInStock]]&lt;=Table24[[#This Row],[ReorderPoint]],"Low Stock",Table24[[#This Row],[QuantityInStock]]&gt;Table24[[#This Row],[ReorderPoint]],"Adequate Stock",Table24[[#This Row],[QuantityInStock]]=0,"Out Of Stock")</f>
        <v>Low Stock</v>
      </c>
      <c r="G404" s="2" t="s">
        <v>519</v>
      </c>
      <c r="H404" s="2" t="s">
        <v>523</v>
      </c>
      <c r="I404" s="2">
        <v>21</v>
      </c>
      <c r="J404" s="2" t="s">
        <v>527</v>
      </c>
      <c r="K404" s="2">
        <v>193.3</v>
      </c>
      <c r="L404" s="2">
        <f>Table24[[#This Row],[QuantityInStock]]*Table24[[#This Row],[UnitCost]]</f>
        <v>10051.6</v>
      </c>
    </row>
    <row r="405" spans="1:12" x14ac:dyDescent="0.3">
      <c r="A405" s="2" t="s">
        <v>412</v>
      </c>
      <c r="B405" s="2" t="s">
        <v>510</v>
      </c>
      <c r="C405" s="2" t="str">
        <f>_xlfn.XLOOKUP(Table24[[#This Row],[ProductName]],Table4[Product name],Table4[Category],"Not Found",0)</f>
        <v>Electronics</v>
      </c>
      <c r="D405" s="2">
        <v>189</v>
      </c>
      <c r="E405" s="2">
        <v>40</v>
      </c>
      <c r="F405" s="2" t="str" cm="1">
        <f t="array" ref="F405">_xlfn.IFS(Table24[[#This Row],[QuantityInStock]]&lt;=Table24[[#This Row],[ReorderPoint]],"Low Stock",Table24[[#This Row],[QuantityInStock]]&gt;Table24[[#This Row],[ReorderPoint]],"Adequate Stock",Table24[[#This Row],[QuantityInStock]]=0,"Out Of Stock")</f>
        <v>Adequate Stock</v>
      </c>
      <c r="G405" s="2" t="s">
        <v>516</v>
      </c>
      <c r="H405" s="2" t="s">
        <v>520</v>
      </c>
      <c r="I405" s="2">
        <v>16</v>
      </c>
      <c r="J405" s="2" t="s">
        <v>525</v>
      </c>
      <c r="K405" s="2">
        <v>181.46</v>
      </c>
      <c r="L405" s="2">
        <f>Table24[[#This Row],[QuantityInStock]]*Table24[[#This Row],[UnitCost]]</f>
        <v>34295.94</v>
      </c>
    </row>
    <row r="406" spans="1:12" x14ac:dyDescent="0.3">
      <c r="A406" s="2" t="s">
        <v>413</v>
      </c>
      <c r="B406" s="2" t="s">
        <v>513</v>
      </c>
      <c r="C406" s="2" t="str">
        <f>_xlfn.XLOOKUP(Table24[[#This Row],[ProductName]],Table4[Product name],Table4[Category],"Not Found",0)</f>
        <v>Electronics</v>
      </c>
      <c r="D406" s="2">
        <v>42</v>
      </c>
      <c r="E406" s="2">
        <v>36</v>
      </c>
      <c r="F406" s="2" t="str" cm="1">
        <f t="array" ref="F406">_xlfn.IFS(Table24[[#This Row],[QuantityInStock]]&lt;=Table24[[#This Row],[ReorderPoint]],"Low Stock",Table24[[#This Row],[QuantityInStock]]&gt;Table24[[#This Row],[ReorderPoint]],"Adequate Stock",Table24[[#This Row],[QuantityInStock]]=0,"Out Of Stock")</f>
        <v>Adequate Stock</v>
      </c>
      <c r="G406" s="2" t="s">
        <v>517</v>
      </c>
      <c r="H406" s="2" t="s">
        <v>521</v>
      </c>
      <c r="I406" s="2">
        <v>17</v>
      </c>
      <c r="J406" s="2" t="s">
        <v>526</v>
      </c>
      <c r="K406" s="2">
        <v>196.85</v>
      </c>
      <c r="L406" s="2">
        <f>Table24[[#This Row],[QuantityInStock]]*Table24[[#This Row],[UnitCost]]</f>
        <v>8267.6999999999989</v>
      </c>
    </row>
    <row r="407" spans="1:12" x14ac:dyDescent="0.3">
      <c r="A407" s="2" t="s">
        <v>414</v>
      </c>
      <c r="B407" s="2" t="s">
        <v>515</v>
      </c>
      <c r="C407" s="2" t="str">
        <f>_xlfn.XLOOKUP(Table24[[#This Row],[ProductName]],Table4[Product name],Table4[Category],"Not Found",0)</f>
        <v>Electronics</v>
      </c>
      <c r="D407" s="2">
        <v>410</v>
      </c>
      <c r="E407" s="2">
        <v>27</v>
      </c>
      <c r="F407" s="2" t="str" cm="1">
        <f t="array" ref="F407">_xlfn.IFS(Table24[[#This Row],[QuantityInStock]]&lt;=Table24[[#This Row],[ReorderPoint]],"Low Stock",Table24[[#This Row],[QuantityInStock]]&gt;Table24[[#This Row],[ReorderPoint]],"Adequate Stock",Table24[[#This Row],[QuantityInStock]]=0,"Out Of Stock")</f>
        <v>Adequate Stock</v>
      </c>
      <c r="G407" s="2" t="s">
        <v>518</v>
      </c>
      <c r="H407" s="2" t="s">
        <v>522</v>
      </c>
      <c r="I407" s="2">
        <v>5</v>
      </c>
      <c r="J407" s="2" t="s">
        <v>528</v>
      </c>
      <c r="K407" s="2">
        <v>129.74</v>
      </c>
      <c r="L407" s="2">
        <f>Table24[[#This Row],[QuantityInStock]]*Table24[[#This Row],[UnitCost]]</f>
        <v>53193.4</v>
      </c>
    </row>
    <row r="408" spans="1:12" x14ac:dyDescent="0.3">
      <c r="A408" s="2" t="s">
        <v>415</v>
      </c>
      <c r="B408" s="2" t="s">
        <v>514</v>
      </c>
      <c r="C408" s="2" t="str">
        <f>_xlfn.XLOOKUP(Table24[[#This Row],[ProductName]],Table4[Product name],Table4[Category],"Not Found",0)</f>
        <v>Furniture</v>
      </c>
      <c r="D408" s="2">
        <v>97</v>
      </c>
      <c r="E408" s="2">
        <v>47</v>
      </c>
      <c r="F408" s="2" t="str" cm="1">
        <f t="array" ref="F408">_xlfn.IFS(Table24[[#This Row],[QuantityInStock]]&lt;=Table24[[#This Row],[ReorderPoint]],"Low Stock",Table24[[#This Row],[QuantityInStock]]&gt;Table24[[#This Row],[ReorderPoint]],"Adequate Stock",Table24[[#This Row],[QuantityInStock]]=0,"Out Of Stock")</f>
        <v>Adequate Stock</v>
      </c>
      <c r="G408" s="2" t="s">
        <v>519</v>
      </c>
      <c r="H408" s="2" t="s">
        <v>523</v>
      </c>
      <c r="I408" s="2">
        <v>14</v>
      </c>
      <c r="J408" s="2" t="s">
        <v>528</v>
      </c>
      <c r="K408" s="2">
        <v>184.25</v>
      </c>
      <c r="L408" s="2">
        <f>Table24[[#This Row],[QuantityInStock]]*Table24[[#This Row],[UnitCost]]</f>
        <v>17872.25</v>
      </c>
    </row>
    <row r="409" spans="1:12" x14ac:dyDescent="0.3">
      <c r="A409" s="2" t="s">
        <v>416</v>
      </c>
      <c r="B409" s="2" t="s">
        <v>511</v>
      </c>
      <c r="C409" s="2" t="str">
        <f>_xlfn.XLOOKUP(Table24[[#This Row],[ProductName]],Table4[Product name],Table4[Category],"Not Found",0)</f>
        <v>Electronics</v>
      </c>
      <c r="D409" s="2">
        <v>6</v>
      </c>
      <c r="E409" s="2">
        <v>53</v>
      </c>
      <c r="F409" s="2" t="str" cm="1">
        <f t="array" ref="F409">_xlfn.IFS(Table24[[#This Row],[QuantityInStock]]&lt;=Table24[[#This Row],[ReorderPoint]],"Low Stock",Table24[[#This Row],[QuantityInStock]]&gt;Table24[[#This Row],[ReorderPoint]],"Adequate Stock",Table24[[#This Row],[QuantityInStock]]=0,"Out Of Stock")</f>
        <v>Low Stock</v>
      </c>
      <c r="G409" s="2" t="s">
        <v>516</v>
      </c>
      <c r="H409" s="2" t="s">
        <v>520</v>
      </c>
      <c r="I409" s="2">
        <v>4</v>
      </c>
      <c r="J409" s="2" t="s">
        <v>528</v>
      </c>
      <c r="K409" s="2">
        <v>74.739999999999995</v>
      </c>
      <c r="L409" s="2">
        <f>Table24[[#This Row],[QuantityInStock]]*Table24[[#This Row],[UnitCost]]</f>
        <v>448.43999999999994</v>
      </c>
    </row>
    <row r="410" spans="1:12" x14ac:dyDescent="0.3">
      <c r="A410" s="2" t="s">
        <v>417</v>
      </c>
      <c r="B410" s="2" t="s">
        <v>511</v>
      </c>
      <c r="C410" s="2" t="str">
        <f>_xlfn.XLOOKUP(Table24[[#This Row],[ProductName]],Table4[Product name],Table4[Category],"Not Found",0)</f>
        <v>Electronics</v>
      </c>
      <c r="D410" s="2">
        <v>394</v>
      </c>
      <c r="E410" s="2">
        <v>29</v>
      </c>
      <c r="F410" s="2" t="str" cm="1">
        <f t="array" ref="F410">_xlfn.IFS(Table24[[#This Row],[QuantityInStock]]&lt;=Table24[[#This Row],[ReorderPoint]],"Low Stock",Table24[[#This Row],[QuantityInStock]]&gt;Table24[[#This Row],[ReorderPoint]],"Adequate Stock",Table24[[#This Row],[QuantityInStock]]=0,"Out Of Stock")</f>
        <v>Adequate Stock</v>
      </c>
      <c r="G410" s="2" t="s">
        <v>517</v>
      </c>
      <c r="H410" s="2" t="s">
        <v>521</v>
      </c>
      <c r="I410" s="2">
        <v>8</v>
      </c>
      <c r="J410" s="2" t="s">
        <v>527</v>
      </c>
      <c r="K410" s="2">
        <v>119.03</v>
      </c>
      <c r="L410" s="2">
        <f>Table24[[#This Row],[QuantityInStock]]*Table24[[#This Row],[UnitCost]]</f>
        <v>46897.82</v>
      </c>
    </row>
    <row r="411" spans="1:12" x14ac:dyDescent="0.3">
      <c r="A411" s="2" t="s">
        <v>418</v>
      </c>
      <c r="B411" s="2" t="s">
        <v>511</v>
      </c>
      <c r="C411" s="2" t="str">
        <f>_xlfn.XLOOKUP(Table24[[#This Row],[ProductName]],Table4[Product name],Table4[Category],"Not Found",0)</f>
        <v>Electronics</v>
      </c>
      <c r="D411" s="2">
        <v>289</v>
      </c>
      <c r="E411" s="2">
        <v>47</v>
      </c>
      <c r="F411" s="2" t="str" cm="1">
        <f t="array" ref="F411">_xlfn.IFS(Table24[[#This Row],[QuantityInStock]]&lt;=Table24[[#This Row],[ReorderPoint]],"Low Stock",Table24[[#This Row],[QuantityInStock]]&gt;Table24[[#This Row],[ReorderPoint]],"Adequate Stock",Table24[[#This Row],[QuantityInStock]]=0,"Out Of Stock")</f>
        <v>Adequate Stock</v>
      </c>
      <c r="G411" s="2" t="s">
        <v>517</v>
      </c>
      <c r="H411" s="2" t="s">
        <v>521</v>
      </c>
      <c r="I411" s="2">
        <v>15</v>
      </c>
      <c r="J411" s="2" t="s">
        <v>526</v>
      </c>
      <c r="K411" s="2">
        <v>37.590000000000003</v>
      </c>
      <c r="L411" s="2">
        <f>Table24[[#This Row],[QuantityInStock]]*Table24[[#This Row],[UnitCost]]</f>
        <v>10863.51</v>
      </c>
    </row>
    <row r="412" spans="1:12" x14ac:dyDescent="0.3">
      <c r="A412" s="2" t="s">
        <v>419</v>
      </c>
      <c r="B412" s="2" t="s">
        <v>512</v>
      </c>
      <c r="C412" s="2" t="str">
        <f>_xlfn.XLOOKUP(Table24[[#This Row],[ProductName]],Table4[Product name],Table4[Category],"Not Found",0)</f>
        <v>Furniture</v>
      </c>
      <c r="D412" s="2">
        <v>96</v>
      </c>
      <c r="E412" s="2">
        <v>25</v>
      </c>
      <c r="F412" s="2" t="str" cm="1">
        <f t="array" ref="F412">_xlfn.IFS(Table24[[#This Row],[QuantityInStock]]&lt;=Table24[[#This Row],[ReorderPoint]],"Low Stock",Table24[[#This Row],[QuantityInStock]]&gt;Table24[[#This Row],[ReorderPoint]],"Adequate Stock",Table24[[#This Row],[QuantityInStock]]=0,"Out Of Stock")</f>
        <v>Adequate Stock</v>
      </c>
      <c r="G412" s="2" t="s">
        <v>518</v>
      </c>
      <c r="H412" s="2" t="s">
        <v>522</v>
      </c>
      <c r="I412" s="2">
        <v>9</v>
      </c>
      <c r="J412" s="2" t="s">
        <v>527</v>
      </c>
      <c r="K412" s="2">
        <v>148.58000000000001</v>
      </c>
      <c r="L412" s="2">
        <f>Table24[[#This Row],[QuantityInStock]]*Table24[[#This Row],[UnitCost]]</f>
        <v>14263.68</v>
      </c>
    </row>
    <row r="413" spans="1:12" x14ac:dyDescent="0.3">
      <c r="A413" s="2" t="s">
        <v>420</v>
      </c>
      <c r="B413" s="2" t="s">
        <v>515</v>
      </c>
      <c r="C413" s="2" t="str">
        <f>_xlfn.XLOOKUP(Table24[[#This Row],[ProductName]],Table4[Product name],Table4[Category],"Not Found",0)</f>
        <v>Electronics</v>
      </c>
      <c r="D413" s="2">
        <v>36</v>
      </c>
      <c r="E413" s="2">
        <v>86</v>
      </c>
      <c r="F413" s="2" t="str" cm="1">
        <f t="array" ref="F413">_xlfn.IFS(Table24[[#This Row],[QuantityInStock]]&lt;=Table24[[#This Row],[ReorderPoint]],"Low Stock",Table24[[#This Row],[QuantityInStock]]&gt;Table24[[#This Row],[ReorderPoint]],"Adequate Stock",Table24[[#This Row],[QuantityInStock]]=0,"Out Of Stock")</f>
        <v>Low Stock</v>
      </c>
      <c r="G413" s="2" t="s">
        <v>517</v>
      </c>
      <c r="H413" s="2" t="s">
        <v>521</v>
      </c>
      <c r="I413" s="2">
        <v>4</v>
      </c>
      <c r="J413" s="2" t="s">
        <v>524</v>
      </c>
      <c r="K413" s="2">
        <v>182.76</v>
      </c>
      <c r="L413" s="2">
        <f>Table24[[#This Row],[QuantityInStock]]*Table24[[#This Row],[UnitCost]]</f>
        <v>6579.36</v>
      </c>
    </row>
    <row r="414" spans="1:12" x14ac:dyDescent="0.3">
      <c r="A414" s="2" t="s">
        <v>421</v>
      </c>
      <c r="B414" s="2" t="s">
        <v>515</v>
      </c>
      <c r="C414" s="2" t="str">
        <f>_xlfn.XLOOKUP(Table24[[#This Row],[ProductName]],Table4[Product name],Table4[Category],"Not Found",0)</f>
        <v>Electronics</v>
      </c>
      <c r="D414" s="2">
        <v>82</v>
      </c>
      <c r="E414" s="2">
        <v>26</v>
      </c>
      <c r="F414" s="2" t="str" cm="1">
        <f t="array" ref="F414">_xlfn.IFS(Table24[[#This Row],[QuantityInStock]]&lt;=Table24[[#This Row],[ReorderPoint]],"Low Stock",Table24[[#This Row],[QuantityInStock]]&gt;Table24[[#This Row],[ReorderPoint]],"Adequate Stock",Table24[[#This Row],[QuantityInStock]]=0,"Out Of Stock")</f>
        <v>Adequate Stock</v>
      </c>
      <c r="G414" s="2" t="s">
        <v>519</v>
      </c>
      <c r="H414" s="2" t="s">
        <v>523</v>
      </c>
      <c r="I414" s="2">
        <v>9</v>
      </c>
      <c r="J414" s="2" t="s">
        <v>526</v>
      </c>
      <c r="K414" s="2">
        <v>24.11</v>
      </c>
      <c r="L414" s="2">
        <f>Table24[[#This Row],[QuantityInStock]]*Table24[[#This Row],[UnitCost]]</f>
        <v>1977.02</v>
      </c>
    </row>
    <row r="415" spans="1:12" x14ac:dyDescent="0.3">
      <c r="A415" s="2" t="s">
        <v>422</v>
      </c>
      <c r="B415" s="2" t="s">
        <v>512</v>
      </c>
      <c r="C415" s="2" t="str">
        <f>_xlfn.XLOOKUP(Table24[[#This Row],[ProductName]],Table4[Product name],Table4[Category],"Not Found",0)</f>
        <v>Furniture</v>
      </c>
      <c r="D415" s="2">
        <v>471</v>
      </c>
      <c r="E415" s="2">
        <v>74</v>
      </c>
      <c r="F415" s="2" t="str" cm="1">
        <f t="array" ref="F415">_xlfn.IFS(Table24[[#This Row],[QuantityInStock]]&lt;=Table24[[#This Row],[ReorderPoint]],"Low Stock",Table24[[#This Row],[QuantityInStock]]&gt;Table24[[#This Row],[ReorderPoint]],"Adequate Stock",Table24[[#This Row],[QuantityInStock]]=0,"Out Of Stock")</f>
        <v>Adequate Stock</v>
      </c>
      <c r="G415" s="2" t="s">
        <v>519</v>
      </c>
      <c r="H415" s="2" t="s">
        <v>523</v>
      </c>
      <c r="I415" s="2">
        <v>19</v>
      </c>
      <c r="J415" s="2" t="s">
        <v>524</v>
      </c>
      <c r="K415" s="2">
        <v>185.92</v>
      </c>
      <c r="L415" s="2">
        <f>Table24[[#This Row],[QuantityInStock]]*Table24[[#This Row],[UnitCost]]</f>
        <v>87568.319999999992</v>
      </c>
    </row>
    <row r="416" spans="1:12" x14ac:dyDescent="0.3">
      <c r="A416" s="2" t="s">
        <v>423</v>
      </c>
      <c r="B416" s="2" t="s">
        <v>510</v>
      </c>
      <c r="C416" s="2" t="str">
        <f>_xlfn.XLOOKUP(Table24[[#This Row],[ProductName]],Table4[Product name],Table4[Category],"Not Found",0)</f>
        <v>Electronics</v>
      </c>
      <c r="D416" s="2">
        <v>12</v>
      </c>
      <c r="E416" s="2">
        <v>61</v>
      </c>
      <c r="F416" s="2" t="str" cm="1">
        <f t="array" ref="F416">_xlfn.IFS(Table24[[#This Row],[QuantityInStock]]&lt;=Table24[[#This Row],[ReorderPoint]],"Low Stock",Table24[[#This Row],[QuantityInStock]]&gt;Table24[[#This Row],[ReorderPoint]],"Adequate Stock",Table24[[#This Row],[QuantityInStock]]=0,"Out Of Stock")</f>
        <v>Low Stock</v>
      </c>
      <c r="G416" s="2" t="s">
        <v>516</v>
      </c>
      <c r="H416" s="2" t="s">
        <v>520</v>
      </c>
      <c r="I416" s="2">
        <v>16</v>
      </c>
      <c r="J416" s="2" t="s">
        <v>528</v>
      </c>
      <c r="K416" s="2">
        <v>9.2799999999999994</v>
      </c>
      <c r="L416" s="2">
        <f>Table24[[#This Row],[QuantityInStock]]*Table24[[#This Row],[UnitCost]]</f>
        <v>111.35999999999999</v>
      </c>
    </row>
    <row r="417" spans="1:12" x14ac:dyDescent="0.3">
      <c r="A417" s="2" t="s">
        <v>424</v>
      </c>
      <c r="B417" s="2" t="s">
        <v>513</v>
      </c>
      <c r="C417" s="2" t="str">
        <f>_xlfn.XLOOKUP(Table24[[#This Row],[ProductName]],Table4[Product name],Table4[Category],"Not Found",0)</f>
        <v>Electronics</v>
      </c>
      <c r="D417" s="2">
        <v>119</v>
      </c>
      <c r="E417" s="2">
        <v>65</v>
      </c>
      <c r="F417" s="2" t="str" cm="1">
        <f t="array" ref="F417">_xlfn.IFS(Table24[[#This Row],[QuantityInStock]]&lt;=Table24[[#This Row],[ReorderPoint]],"Low Stock",Table24[[#This Row],[QuantityInStock]]&gt;Table24[[#This Row],[ReorderPoint]],"Adequate Stock",Table24[[#This Row],[QuantityInStock]]=0,"Out Of Stock")</f>
        <v>Adequate Stock</v>
      </c>
      <c r="G417" s="2" t="s">
        <v>519</v>
      </c>
      <c r="H417" s="2" t="s">
        <v>523</v>
      </c>
      <c r="I417" s="2">
        <v>17</v>
      </c>
      <c r="J417" s="2" t="s">
        <v>526</v>
      </c>
      <c r="K417" s="2">
        <v>18.14</v>
      </c>
      <c r="L417" s="2">
        <f>Table24[[#This Row],[QuantityInStock]]*Table24[[#This Row],[UnitCost]]</f>
        <v>2158.66</v>
      </c>
    </row>
    <row r="418" spans="1:12" x14ac:dyDescent="0.3">
      <c r="A418" s="2" t="s">
        <v>425</v>
      </c>
      <c r="B418" s="2" t="s">
        <v>511</v>
      </c>
      <c r="C418" s="2" t="str">
        <f>_xlfn.XLOOKUP(Table24[[#This Row],[ProductName]],Table4[Product name],Table4[Category],"Not Found",0)</f>
        <v>Electronics</v>
      </c>
      <c r="D418" s="2">
        <v>220</v>
      </c>
      <c r="E418" s="2">
        <v>22</v>
      </c>
      <c r="F418" s="2" t="str" cm="1">
        <f t="array" ref="F418">_xlfn.IFS(Table24[[#This Row],[QuantityInStock]]&lt;=Table24[[#This Row],[ReorderPoint]],"Low Stock",Table24[[#This Row],[QuantityInStock]]&gt;Table24[[#This Row],[ReorderPoint]],"Adequate Stock",Table24[[#This Row],[QuantityInStock]]=0,"Out Of Stock")</f>
        <v>Adequate Stock</v>
      </c>
      <c r="G418" s="2" t="s">
        <v>518</v>
      </c>
      <c r="H418" s="2" t="s">
        <v>522</v>
      </c>
      <c r="I418" s="2">
        <v>15</v>
      </c>
      <c r="J418" s="2" t="s">
        <v>524</v>
      </c>
      <c r="K418" s="2">
        <v>130.05000000000001</v>
      </c>
      <c r="L418" s="2">
        <f>Table24[[#This Row],[QuantityInStock]]*Table24[[#This Row],[UnitCost]]</f>
        <v>28611.000000000004</v>
      </c>
    </row>
    <row r="419" spans="1:12" x14ac:dyDescent="0.3">
      <c r="A419" s="2" t="s">
        <v>426</v>
      </c>
      <c r="B419" s="2" t="s">
        <v>515</v>
      </c>
      <c r="C419" s="2" t="str">
        <f>_xlfn.XLOOKUP(Table24[[#This Row],[ProductName]],Table4[Product name],Table4[Category],"Not Found",0)</f>
        <v>Electronics</v>
      </c>
      <c r="D419" s="2">
        <v>234</v>
      </c>
      <c r="E419" s="2">
        <v>44</v>
      </c>
      <c r="F419" s="2" t="str" cm="1">
        <f t="array" ref="F419">_xlfn.IFS(Table24[[#This Row],[QuantityInStock]]&lt;=Table24[[#This Row],[ReorderPoint]],"Low Stock",Table24[[#This Row],[QuantityInStock]]&gt;Table24[[#This Row],[ReorderPoint]],"Adequate Stock",Table24[[#This Row],[QuantityInStock]]=0,"Out Of Stock")</f>
        <v>Adequate Stock</v>
      </c>
      <c r="G419" s="2" t="s">
        <v>517</v>
      </c>
      <c r="H419" s="2" t="s">
        <v>521</v>
      </c>
      <c r="I419" s="2">
        <v>5</v>
      </c>
      <c r="J419" s="2" t="s">
        <v>525</v>
      </c>
      <c r="K419" s="2">
        <v>50.51</v>
      </c>
      <c r="L419" s="2">
        <f>Table24[[#This Row],[QuantityInStock]]*Table24[[#This Row],[UnitCost]]</f>
        <v>11819.34</v>
      </c>
    </row>
    <row r="420" spans="1:12" x14ac:dyDescent="0.3">
      <c r="A420" s="2" t="s">
        <v>427</v>
      </c>
      <c r="B420" s="2" t="s">
        <v>511</v>
      </c>
      <c r="C420" s="2" t="str">
        <f>_xlfn.XLOOKUP(Table24[[#This Row],[ProductName]],Table4[Product name],Table4[Category],"Not Found",0)</f>
        <v>Electronics</v>
      </c>
      <c r="D420" s="2">
        <v>241</v>
      </c>
      <c r="E420" s="2">
        <v>72</v>
      </c>
      <c r="F420" s="2" t="str" cm="1">
        <f t="array" ref="F420">_xlfn.IFS(Table24[[#This Row],[QuantityInStock]]&lt;=Table24[[#This Row],[ReorderPoint]],"Low Stock",Table24[[#This Row],[QuantityInStock]]&gt;Table24[[#This Row],[ReorderPoint]],"Adequate Stock",Table24[[#This Row],[QuantityInStock]]=0,"Out Of Stock")</f>
        <v>Adequate Stock</v>
      </c>
      <c r="G420" s="2" t="s">
        <v>519</v>
      </c>
      <c r="H420" s="2" t="s">
        <v>523</v>
      </c>
      <c r="I420" s="2">
        <v>5</v>
      </c>
      <c r="J420" s="2" t="s">
        <v>525</v>
      </c>
      <c r="K420" s="2">
        <v>186.5</v>
      </c>
      <c r="L420" s="2">
        <f>Table24[[#This Row],[QuantityInStock]]*Table24[[#This Row],[UnitCost]]</f>
        <v>44946.5</v>
      </c>
    </row>
    <row r="421" spans="1:12" x14ac:dyDescent="0.3">
      <c r="A421" s="2" t="s">
        <v>428</v>
      </c>
      <c r="B421" s="2" t="s">
        <v>512</v>
      </c>
      <c r="C421" s="2" t="str">
        <f>_xlfn.XLOOKUP(Table24[[#This Row],[ProductName]],Table4[Product name],Table4[Category],"Not Found",0)</f>
        <v>Furniture</v>
      </c>
      <c r="D421" s="2">
        <v>444</v>
      </c>
      <c r="E421" s="2">
        <v>81</v>
      </c>
      <c r="F421" s="2" t="str" cm="1">
        <f t="array" ref="F421">_xlfn.IFS(Table24[[#This Row],[QuantityInStock]]&lt;=Table24[[#This Row],[ReorderPoint]],"Low Stock",Table24[[#This Row],[QuantityInStock]]&gt;Table24[[#This Row],[ReorderPoint]],"Adequate Stock",Table24[[#This Row],[QuantityInStock]]=0,"Out Of Stock")</f>
        <v>Adequate Stock</v>
      </c>
      <c r="G421" s="2" t="s">
        <v>516</v>
      </c>
      <c r="H421" s="2" t="s">
        <v>520</v>
      </c>
      <c r="I421" s="2">
        <v>15</v>
      </c>
      <c r="J421" s="2" t="s">
        <v>525</v>
      </c>
      <c r="K421" s="2">
        <v>3.86</v>
      </c>
      <c r="L421" s="2">
        <f>Table24[[#This Row],[QuantityInStock]]*Table24[[#This Row],[UnitCost]]</f>
        <v>1713.84</v>
      </c>
    </row>
    <row r="422" spans="1:12" x14ac:dyDescent="0.3">
      <c r="A422" s="2" t="s">
        <v>429</v>
      </c>
      <c r="B422" s="2" t="s">
        <v>514</v>
      </c>
      <c r="C422" s="2" t="str">
        <f>_xlfn.XLOOKUP(Table24[[#This Row],[ProductName]],Table4[Product name],Table4[Category],"Not Found",0)</f>
        <v>Furniture</v>
      </c>
      <c r="D422" s="2">
        <v>266</v>
      </c>
      <c r="E422" s="2">
        <v>30</v>
      </c>
      <c r="F422" s="2" t="str" cm="1">
        <f t="array" ref="F422">_xlfn.IFS(Table24[[#This Row],[QuantityInStock]]&lt;=Table24[[#This Row],[ReorderPoint]],"Low Stock",Table24[[#This Row],[QuantityInStock]]&gt;Table24[[#This Row],[ReorderPoint]],"Adequate Stock",Table24[[#This Row],[QuantityInStock]]=0,"Out Of Stock")</f>
        <v>Adequate Stock</v>
      </c>
      <c r="G422" s="2" t="s">
        <v>518</v>
      </c>
      <c r="H422" s="2" t="s">
        <v>522</v>
      </c>
      <c r="I422" s="2">
        <v>18</v>
      </c>
      <c r="J422" s="2" t="s">
        <v>527</v>
      </c>
      <c r="K422" s="2">
        <v>99.64</v>
      </c>
      <c r="L422" s="2">
        <f>Table24[[#This Row],[QuantityInStock]]*Table24[[#This Row],[UnitCost]]</f>
        <v>26504.240000000002</v>
      </c>
    </row>
    <row r="423" spans="1:12" x14ac:dyDescent="0.3">
      <c r="A423" s="2" t="s">
        <v>430</v>
      </c>
      <c r="B423" s="2" t="s">
        <v>513</v>
      </c>
      <c r="C423" s="2" t="str">
        <f>_xlfn.XLOOKUP(Table24[[#This Row],[ProductName]],Table4[Product name],Table4[Category],"Not Found",0)</f>
        <v>Electronics</v>
      </c>
      <c r="D423" s="2">
        <v>72</v>
      </c>
      <c r="E423" s="2">
        <v>24</v>
      </c>
      <c r="F423" s="2" t="str" cm="1">
        <f t="array" ref="F423">_xlfn.IFS(Table24[[#This Row],[QuantityInStock]]&lt;=Table24[[#This Row],[ReorderPoint]],"Low Stock",Table24[[#This Row],[QuantityInStock]]&gt;Table24[[#This Row],[ReorderPoint]],"Adequate Stock",Table24[[#This Row],[QuantityInStock]]=0,"Out Of Stock")</f>
        <v>Adequate Stock</v>
      </c>
      <c r="G423" s="2" t="s">
        <v>519</v>
      </c>
      <c r="H423" s="2" t="s">
        <v>523</v>
      </c>
      <c r="I423" s="2">
        <v>18</v>
      </c>
      <c r="J423" s="2" t="s">
        <v>528</v>
      </c>
      <c r="K423" s="2">
        <v>22.11</v>
      </c>
      <c r="L423" s="2">
        <f>Table24[[#This Row],[QuantityInStock]]*Table24[[#This Row],[UnitCost]]</f>
        <v>1591.92</v>
      </c>
    </row>
    <row r="424" spans="1:12" x14ac:dyDescent="0.3">
      <c r="A424" s="2" t="s">
        <v>431</v>
      </c>
      <c r="B424" s="2" t="s">
        <v>511</v>
      </c>
      <c r="C424" s="2" t="str">
        <f>_xlfn.XLOOKUP(Table24[[#This Row],[ProductName]],Table4[Product name],Table4[Category],"Not Found",0)</f>
        <v>Electronics</v>
      </c>
      <c r="D424" s="2">
        <v>310</v>
      </c>
      <c r="E424" s="2">
        <v>29</v>
      </c>
      <c r="F424" s="2" t="str" cm="1">
        <f t="array" ref="F424">_xlfn.IFS(Table24[[#This Row],[QuantityInStock]]&lt;=Table24[[#This Row],[ReorderPoint]],"Low Stock",Table24[[#This Row],[QuantityInStock]]&gt;Table24[[#This Row],[ReorderPoint]],"Adequate Stock",Table24[[#This Row],[QuantityInStock]]=0,"Out Of Stock")</f>
        <v>Adequate Stock</v>
      </c>
      <c r="G424" s="2" t="s">
        <v>517</v>
      </c>
      <c r="H424" s="2" t="s">
        <v>521</v>
      </c>
      <c r="I424" s="2">
        <v>18</v>
      </c>
      <c r="J424" s="2" t="s">
        <v>528</v>
      </c>
      <c r="K424" s="2">
        <v>111.67</v>
      </c>
      <c r="L424" s="2">
        <f>Table24[[#This Row],[QuantityInStock]]*Table24[[#This Row],[UnitCost]]</f>
        <v>34617.699999999997</v>
      </c>
    </row>
    <row r="425" spans="1:12" x14ac:dyDescent="0.3">
      <c r="A425" s="2" t="s">
        <v>432</v>
      </c>
      <c r="B425" s="2" t="s">
        <v>515</v>
      </c>
      <c r="C425" s="2" t="str">
        <f>_xlfn.XLOOKUP(Table24[[#This Row],[ProductName]],Table4[Product name],Table4[Category],"Not Found",0)</f>
        <v>Electronics</v>
      </c>
      <c r="D425" s="2">
        <v>239</v>
      </c>
      <c r="E425" s="2">
        <v>61</v>
      </c>
      <c r="F425" s="2" t="str" cm="1">
        <f t="array" ref="F425">_xlfn.IFS(Table24[[#This Row],[QuantityInStock]]&lt;=Table24[[#This Row],[ReorderPoint]],"Low Stock",Table24[[#This Row],[QuantityInStock]]&gt;Table24[[#This Row],[ReorderPoint]],"Adequate Stock",Table24[[#This Row],[QuantityInStock]]=0,"Out Of Stock")</f>
        <v>Adequate Stock</v>
      </c>
      <c r="G425" s="2" t="s">
        <v>516</v>
      </c>
      <c r="H425" s="2" t="s">
        <v>520</v>
      </c>
      <c r="I425" s="2">
        <v>4</v>
      </c>
      <c r="J425" s="2" t="s">
        <v>526</v>
      </c>
      <c r="K425" s="2">
        <v>197.31</v>
      </c>
      <c r="L425" s="2">
        <f>Table24[[#This Row],[QuantityInStock]]*Table24[[#This Row],[UnitCost]]</f>
        <v>47157.090000000004</v>
      </c>
    </row>
    <row r="426" spans="1:12" x14ac:dyDescent="0.3">
      <c r="A426" s="2" t="s">
        <v>433</v>
      </c>
      <c r="B426" s="2" t="s">
        <v>509</v>
      </c>
      <c r="C426" s="2" t="str">
        <f>_xlfn.XLOOKUP(Table24[[#This Row],[ProductName]],Table4[Product name],Table4[Category],"Not Found",0)</f>
        <v>Electronics</v>
      </c>
      <c r="D426" s="2">
        <v>479</v>
      </c>
      <c r="E426" s="2">
        <v>78</v>
      </c>
      <c r="F426" s="2" t="str" cm="1">
        <f t="array" ref="F426">_xlfn.IFS(Table24[[#This Row],[QuantityInStock]]&lt;=Table24[[#This Row],[ReorderPoint]],"Low Stock",Table24[[#This Row],[QuantityInStock]]&gt;Table24[[#This Row],[ReorderPoint]],"Adequate Stock",Table24[[#This Row],[QuantityInStock]]=0,"Out Of Stock")</f>
        <v>Adequate Stock</v>
      </c>
      <c r="G426" s="2" t="s">
        <v>519</v>
      </c>
      <c r="H426" s="2" t="s">
        <v>523</v>
      </c>
      <c r="I426" s="2">
        <v>21</v>
      </c>
      <c r="J426" s="2" t="s">
        <v>525</v>
      </c>
      <c r="K426" s="2">
        <v>130.76</v>
      </c>
      <c r="L426" s="2">
        <f>Table24[[#This Row],[QuantityInStock]]*Table24[[#This Row],[UnitCost]]</f>
        <v>62634.039999999994</v>
      </c>
    </row>
    <row r="427" spans="1:12" x14ac:dyDescent="0.3">
      <c r="A427" s="2" t="s">
        <v>434</v>
      </c>
      <c r="B427" s="2" t="s">
        <v>515</v>
      </c>
      <c r="C427" s="2" t="str">
        <f>_xlfn.XLOOKUP(Table24[[#This Row],[ProductName]],Table4[Product name],Table4[Category],"Not Found",0)</f>
        <v>Electronics</v>
      </c>
      <c r="D427" s="2">
        <v>198</v>
      </c>
      <c r="E427" s="2">
        <v>21</v>
      </c>
      <c r="F427" s="2" t="str" cm="1">
        <f t="array" ref="F427">_xlfn.IFS(Table24[[#This Row],[QuantityInStock]]&lt;=Table24[[#This Row],[ReorderPoint]],"Low Stock",Table24[[#This Row],[QuantityInStock]]&gt;Table24[[#This Row],[ReorderPoint]],"Adequate Stock",Table24[[#This Row],[QuantityInStock]]=0,"Out Of Stock")</f>
        <v>Adequate Stock</v>
      </c>
      <c r="G427" s="2" t="s">
        <v>519</v>
      </c>
      <c r="H427" s="2" t="s">
        <v>523</v>
      </c>
      <c r="I427" s="2">
        <v>14</v>
      </c>
      <c r="J427" s="2" t="s">
        <v>527</v>
      </c>
      <c r="K427" s="2">
        <v>74.3</v>
      </c>
      <c r="L427" s="2">
        <f>Table24[[#This Row],[QuantityInStock]]*Table24[[#This Row],[UnitCost]]</f>
        <v>14711.4</v>
      </c>
    </row>
    <row r="428" spans="1:12" x14ac:dyDescent="0.3">
      <c r="A428" s="2" t="s">
        <v>435</v>
      </c>
      <c r="B428" s="2" t="s">
        <v>510</v>
      </c>
      <c r="C428" s="2" t="str">
        <f>_xlfn.XLOOKUP(Table24[[#This Row],[ProductName]],Table4[Product name],Table4[Category],"Not Found",0)</f>
        <v>Electronics</v>
      </c>
      <c r="D428" s="2">
        <v>383</v>
      </c>
      <c r="E428" s="2">
        <v>90</v>
      </c>
      <c r="F428" s="2" t="str" cm="1">
        <f t="array" ref="F428">_xlfn.IFS(Table24[[#This Row],[QuantityInStock]]&lt;=Table24[[#This Row],[ReorderPoint]],"Low Stock",Table24[[#This Row],[QuantityInStock]]&gt;Table24[[#This Row],[ReorderPoint]],"Adequate Stock",Table24[[#This Row],[QuantityInStock]]=0,"Out Of Stock")</f>
        <v>Adequate Stock</v>
      </c>
      <c r="G428" s="2" t="s">
        <v>516</v>
      </c>
      <c r="H428" s="2" t="s">
        <v>520</v>
      </c>
      <c r="I428" s="2">
        <v>20</v>
      </c>
      <c r="J428" s="2" t="s">
        <v>525</v>
      </c>
      <c r="K428" s="2">
        <v>154.76</v>
      </c>
      <c r="L428" s="2">
        <f>Table24[[#This Row],[QuantityInStock]]*Table24[[#This Row],[UnitCost]]</f>
        <v>59273.079999999994</v>
      </c>
    </row>
    <row r="429" spans="1:12" x14ac:dyDescent="0.3">
      <c r="A429" s="2" t="s">
        <v>436</v>
      </c>
      <c r="B429" s="2" t="s">
        <v>513</v>
      </c>
      <c r="C429" s="2" t="str">
        <f>_xlfn.XLOOKUP(Table24[[#This Row],[ProductName]],Table4[Product name],Table4[Category],"Not Found",0)</f>
        <v>Electronics</v>
      </c>
      <c r="D429" s="2">
        <v>55</v>
      </c>
      <c r="E429" s="2">
        <v>87</v>
      </c>
      <c r="F429" s="2" t="str" cm="1">
        <f t="array" ref="F429">_xlfn.IFS(Table24[[#This Row],[QuantityInStock]]&lt;=Table24[[#This Row],[ReorderPoint]],"Low Stock",Table24[[#This Row],[QuantityInStock]]&gt;Table24[[#This Row],[ReorderPoint]],"Adequate Stock",Table24[[#This Row],[QuantityInStock]]=0,"Out Of Stock")</f>
        <v>Low Stock</v>
      </c>
      <c r="G429" s="2" t="s">
        <v>517</v>
      </c>
      <c r="H429" s="2" t="s">
        <v>521</v>
      </c>
      <c r="I429" s="2">
        <v>3</v>
      </c>
      <c r="J429" s="2" t="s">
        <v>524</v>
      </c>
      <c r="K429" s="2">
        <v>27.69</v>
      </c>
      <c r="L429" s="2">
        <f>Table24[[#This Row],[QuantityInStock]]*Table24[[#This Row],[UnitCost]]</f>
        <v>1522.95</v>
      </c>
    </row>
    <row r="430" spans="1:12" x14ac:dyDescent="0.3">
      <c r="A430" s="2" t="s">
        <v>437</v>
      </c>
      <c r="B430" s="2" t="s">
        <v>515</v>
      </c>
      <c r="C430" s="2" t="str">
        <f>_xlfn.XLOOKUP(Table24[[#This Row],[ProductName]],Table4[Product name],Table4[Category],"Not Found",0)</f>
        <v>Electronics</v>
      </c>
      <c r="D430" s="2">
        <v>421</v>
      </c>
      <c r="E430" s="2">
        <v>36</v>
      </c>
      <c r="F430" s="2" t="str" cm="1">
        <f t="array" ref="F430">_xlfn.IFS(Table24[[#This Row],[QuantityInStock]]&lt;=Table24[[#This Row],[ReorderPoint]],"Low Stock",Table24[[#This Row],[QuantityInStock]]&gt;Table24[[#This Row],[ReorderPoint]],"Adequate Stock",Table24[[#This Row],[QuantityInStock]]=0,"Out Of Stock")</f>
        <v>Adequate Stock</v>
      </c>
      <c r="G430" s="2" t="s">
        <v>517</v>
      </c>
      <c r="H430" s="2" t="s">
        <v>521</v>
      </c>
      <c r="I430" s="2">
        <v>9</v>
      </c>
      <c r="J430" s="2" t="s">
        <v>525</v>
      </c>
      <c r="K430" s="2">
        <v>166.82</v>
      </c>
      <c r="L430" s="2">
        <f>Table24[[#This Row],[QuantityInStock]]*Table24[[#This Row],[UnitCost]]</f>
        <v>70231.22</v>
      </c>
    </row>
    <row r="431" spans="1:12" x14ac:dyDescent="0.3">
      <c r="A431" s="2" t="s">
        <v>438</v>
      </c>
      <c r="B431" s="2" t="s">
        <v>510</v>
      </c>
      <c r="C431" s="2" t="str">
        <f>_xlfn.XLOOKUP(Table24[[#This Row],[ProductName]],Table4[Product name],Table4[Category],"Not Found",0)</f>
        <v>Electronics</v>
      </c>
      <c r="D431" s="2">
        <v>348</v>
      </c>
      <c r="E431" s="2">
        <v>20</v>
      </c>
      <c r="F431" s="2" t="str" cm="1">
        <f t="array" ref="F431">_xlfn.IFS(Table24[[#This Row],[QuantityInStock]]&lt;=Table24[[#This Row],[ReorderPoint]],"Low Stock",Table24[[#This Row],[QuantityInStock]]&gt;Table24[[#This Row],[ReorderPoint]],"Adequate Stock",Table24[[#This Row],[QuantityInStock]]=0,"Out Of Stock")</f>
        <v>Adequate Stock</v>
      </c>
      <c r="G431" s="2" t="s">
        <v>517</v>
      </c>
      <c r="H431" s="2" t="s">
        <v>521</v>
      </c>
      <c r="I431" s="2">
        <v>7</v>
      </c>
      <c r="J431" s="2" t="s">
        <v>526</v>
      </c>
      <c r="K431" s="2">
        <v>140.53</v>
      </c>
      <c r="L431" s="2">
        <f>Table24[[#This Row],[QuantityInStock]]*Table24[[#This Row],[UnitCost]]</f>
        <v>48904.44</v>
      </c>
    </row>
    <row r="432" spans="1:12" x14ac:dyDescent="0.3">
      <c r="A432" s="2" t="s">
        <v>439</v>
      </c>
      <c r="B432" s="2" t="s">
        <v>509</v>
      </c>
      <c r="C432" s="2" t="str">
        <f>_xlfn.XLOOKUP(Table24[[#This Row],[ProductName]],Table4[Product name],Table4[Category],"Not Found",0)</f>
        <v>Electronics</v>
      </c>
      <c r="D432" s="2">
        <v>174</v>
      </c>
      <c r="E432" s="2">
        <v>44</v>
      </c>
      <c r="F432" s="2" t="str" cm="1">
        <f t="array" ref="F432">_xlfn.IFS(Table24[[#This Row],[QuantityInStock]]&lt;=Table24[[#This Row],[ReorderPoint]],"Low Stock",Table24[[#This Row],[QuantityInStock]]&gt;Table24[[#This Row],[ReorderPoint]],"Adequate Stock",Table24[[#This Row],[QuantityInStock]]=0,"Out Of Stock")</f>
        <v>Adequate Stock</v>
      </c>
      <c r="G432" s="2" t="s">
        <v>517</v>
      </c>
      <c r="H432" s="2" t="s">
        <v>521</v>
      </c>
      <c r="I432" s="2">
        <v>4</v>
      </c>
      <c r="J432" s="2" t="s">
        <v>526</v>
      </c>
      <c r="K432" s="2">
        <v>168.76</v>
      </c>
      <c r="L432" s="2">
        <f>Table24[[#This Row],[QuantityInStock]]*Table24[[#This Row],[UnitCost]]</f>
        <v>29364.239999999998</v>
      </c>
    </row>
    <row r="433" spans="1:12" x14ac:dyDescent="0.3">
      <c r="A433" s="2" t="s">
        <v>440</v>
      </c>
      <c r="B433" s="2" t="s">
        <v>515</v>
      </c>
      <c r="C433" s="2" t="str">
        <f>_xlfn.XLOOKUP(Table24[[#This Row],[ProductName]],Table4[Product name],Table4[Category],"Not Found",0)</f>
        <v>Electronics</v>
      </c>
      <c r="D433" s="2">
        <v>342</v>
      </c>
      <c r="E433" s="2">
        <v>36</v>
      </c>
      <c r="F433" s="2" t="str" cm="1">
        <f t="array" ref="F433">_xlfn.IFS(Table24[[#This Row],[QuantityInStock]]&lt;=Table24[[#This Row],[ReorderPoint]],"Low Stock",Table24[[#This Row],[QuantityInStock]]&gt;Table24[[#This Row],[ReorderPoint]],"Adequate Stock",Table24[[#This Row],[QuantityInStock]]=0,"Out Of Stock")</f>
        <v>Adequate Stock</v>
      </c>
      <c r="G433" s="2" t="s">
        <v>518</v>
      </c>
      <c r="H433" s="2" t="s">
        <v>522</v>
      </c>
      <c r="I433" s="2">
        <v>4</v>
      </c>
      <c r="J433" s="2" t="s">
        <v>525</v>
      </c>
      <c r="K433" s="2">
        <v>56.35</v>
      </c>
      <c r="L433" s="2">
        <f>Table24[[#This Row],[QuantityInStock]]*Table24[[#This Row],[UnitCost]]</f>
        <v>19271.7</v>
      </c>
    </row>
    <row r="434" spans="1:12" x14ac:dyDescent="0.3">
      <c r="A434" s="2" t="s">
        <v>441</v>
      </c>
      <c r="B434" s="2" t="s">
        <v>512</v>
      </c>
      <c r="C434" s="2" t="str">
        <f>_xlfn.XLOOKUP(Table24[[#This Row],[ProductName]],Table4[Product name],Table4[Category],"Not Found",0)</f>
        <v>Furniture</v>
      </c>
      <c r="D434" s="2">
        <v>439</v>
      </c>
      <c r="E434" s="2">
        <v>58</v>
      </c>
      <c r="F434" s="2" t="str" cm="1">
        <f t="array" ref="F434">_xlfn.IFS(Table24[[#This Row],[QuantityInStock]]&lt;=Table24[[#This Row],[ReorderPoint]],"Low Stock",Table24[[#This Row],[QuantityInStock]]&gt;Table24[[#This Row],[ReorderPoint]],"Adequate Stock",Table24[[#This Row],[QuantityInStock]]=0,"Out Of Stock")</f>
        <v>Adequate Stock</v>
      </c>
      <c r="G434" s="2" t="s">
        <v>518</v>
      </c>
      <c r="H434" s="2" t="s">
        <v>522</v>
      </c>
      <c r="I434" s="2">
        <v>18</v>
      </c>
      <c r="J434" s="2" t="s">
        <v>526</v>
      </c>
      <c r="K434" s="2">
        <v>104.18</v>
      </c>
      <c r="L434" s="2">
        <f>Table24[[#This Row],[QuantityInStock]]*Table24[[#This Row],[UnitCost]]</f>
        <v>45735.020000000004</v>
      </c>
    </row>
    <row r="435" spans="1:12" x14ac:dyDescent="0.3">
      <c r="A435" s="2" t="s">
        <v>442</v>
      </c>
      <c r="B435" s="2" t="s">
        <v>512</v>
      </c>
      <c r="C435" s="2" t="str">
        <f>_xlfn.XLOOKUP(Table24[[#This Row],[ProductName]],Table4[Product name],Table4[Category],"Not Found",0)</f>
        <v>Furniture</v>
      </c>
      <c r="D435" s="2">
        <v>65</v>
      </c>
      <c r="E435" s="2">
        <v>25</v>
      </c>
      <c r="F435" s="2" t="str" cm="1">
        <f t="array" ref="F435">_xlfn.IFS(Table24[[#This Row],[QuantityInStock]]&lt;=Table24[[#This Row],[ReorderPoint]],"Low Stock",Table24[[#This Row],[QuantityInStock]]&gt;Table24[[#This Row],[ReorderPoint]],"Adequate Stock",Table24[[#This Row],[QuantityInStock]]=0,"Out Of Stock")</f>
        <v>Adequate Stock</v>
      </c>
      <c r="G435" s="2" t="s">
        <v>518</v>
      </c>
      <c r="H435" s="2" t="s">
        <v>522</v>
      </c>
      <c r="I435" s="2">
        <v>18</v>
      </c>
      <c r="J435" s="2" t="s">
        <v>524</v>
      </c>
      <c r="K435" s="2">
        <v>187.89</v>
      </c>
      <c r="L435" s="2">
        <f>Table24[[#This Row],[QuantityInStock]]*Table24[[#This Row],[UnitCost]]</f>
        <v>12212.849999999999</v>
      </c>
    </row>
    <row r="436" spans="1:12" x14ac:dyDescent="0.3">
      <c r="A436" s="2" t="s">
        <v>443</v>
      </c>
      <c r="B436" s="2" t="s">
        <v>509</v>
      </c>
      <c r="C436" s="2" t="str">
        <f>_xlfn.XLOOKUP(Table24[[#This Row],[ProductName]],Table4[Product name],Table4[Category],"Not Found",0)</f>
        <v>Electronics</v>
      </c>
      <c r="D436" s="2">
        <v>420</v>
      </c>
      <c r="E436" s="2">
        <v>48</v>
      </c>
      <c r="F436" s="2" t="str" cm="1">
        <f t="array" ref="F436">_xlfn.IFS(Table24[[#This Row],[QuantityInStock]]&lt;=Table24[[#This Row],[ReorderPoint]],"Low Stock",Table24[[#This Row],[QuantityInStock]]&gt;Table24[[#This Row],[ReorderPoint]],"Adequate Stock",Table24[[#This Row],[QuantityInStock]]=0,"Out Of Stock")</f>
        <v>Adequate Stock</v>
      </c>
      <c r="G436" s="2" t="s">
        <v>517</v>
      </c>
      <c r="H436" s="2" t="s">
        <v>521</v>
      </c>
      <c r="I436" s="2">
        <v>3</v>
      </c>
      <c r="J436" s="2" t="s">
        <v>526</v>
      </c>
      <c r="K436" s="2">
        <v>85.74</v>
      </c>
      <c r="L436" s="2">
        <f>Table24[[#This Row],[QuantityInStock]]*Table24[[#This Row],[UnitCost]]</f>
        <v>36010.799999999996</v>
      </c>
    </row>
    <row r="437" spans="1:12" x14ac:dyDescent="0.3">
      <c r="A437" s="2" t="s">
        <v>444</v>
      </c>
      <c r="B437" s="2" t="s">
        <v>514</v>
      </c>
      <c r="C437" s="2" t="str">
        <f>_xlfn.XLOOKUP(Table24[[#This Row],[ProductName]],Table4[Product name],Table4[Category],"Not Found",0)</f>
        <v>Furniture</v>
      </c>
      <c r="D437" s="2">
        <v>338</v>
      </c>
      <c r="E437" s="2">
        <v>69</v>
      </c>
      <c r="F437" s="2" t="str" cm="1">
        <f t="array" ref="F437">_xlfn.IFS(Table24[[#This Row],[QuantityInStock]]&lt;=Table24[[#This Row],[ReorderPoint]],"Low Stock",Table24[[#This Row],[QuantityInStock]]&gt;Table24[[#This Row],[ReorderPoint]],"Adequate Stock",Table24[[#This Row],[QuantityInStock]]=0,"Out Of Stock")</f>
        <v>Adequate Stock</v>
      </c>
      <c r="G437" s="2" t="s">
        <v>518</v>
      </c>
      <c r="H437" s="2" t="s">
        <v>522</v>
      </c>
      <c r="I437" s="2">
        <v>11</v>
      </c>
      <c r="J437" s="2" t="s">
        <v>527</v>
      </c>
      <c r="K437" s="2">
        <v>130.62</v>
      </c>
      <c r="L437" s="2">
        <f>Table24[[#This Row],[QuantityInStock]]*Table24[[#This Row],[UnitCost]]</f>
        <v>44149.560000000005</v>
      </c>
    </row>
    <row r="438" spans="1:12" x14ac:dyDescent="0.3">
      <c r="A438" s="2" t="s">
        <v>445</v>
      </c>
      <c r="B438" s="2" t="s">
        <v>515</v>
      </c>
      <c r="C438" s="2" t="str">
        <f>_xlfn.XLOOKUP(Table24[[#This Row],[ProductName]],Table4[Product name],Table4[Category],"Not Found",0)</f>
        <v>Electronics</v>
      </c>
      <c r="D438" s="2">
        <v>493</v>
      </c>
      <c r="E438" s="2">
        <v>50</v>
      </c>
      <c r="F438" s="2" t="str" cm="1">
        <f t="array" ref="F438">_xlfn.IFS(Table24[[#This Row],[QuantityInStock]]&lt;=Table24[[#This Row],[ReorderPoint]],"Low Stock",Table24[[#This Row],[QuantityInStock]]&gt;Table24[[#This Row],[ReorderPoint]],"Adequate Stock",Table24[[#This Row],[QuantityInStock]]=0,"Out Of Stock")</f>
        <v>Adequate Stock</v>
      </c>
      <c r="G438" s="2" t="s">
        <v>519</v>
      </c>
      <c r="H438" s="2" t="s">
        <v>523</v>
      </c>
      <c r="I438" s="2">
        <v>16</v>
      </c>
      <c r="J438" s="2" t="s">
        <v>527</v>
      </c>
      <c r="K438" s="2">
        <v>114.8</v>
      </c>
      <c r="L438" s="2">
        <f>Table24[[#This Row],[QuantityInStock]]*Table24[[#This Row],[UnitCost]]</f>
        <v>56596.4</v>
      </c>
    </row>
    <row r="439" spans="1:12" x14ac:dyDescent="0.3">
      <c r="A439" s="2" t="s">
        <v>446</v>
      </c>
      <c r="B439" s="2" t="s">
        <v>510</v>
      </c>
      <c r="C439" s="2" t="str">
        <f>_xlfn.XLOOKUP(Table24[[#This Row],[ProductName]],Table4[Product name],Table4[Category],"Not Found",0)</f>
        <v>Electronics</v>
      </c>
      <c r="D439" s="2">
        <v>24</v>
      </c>
      <c r="E439" s="2">
        <v>46</v>
      </c>
      <c r="F439" s="2" t="str" cm="1">
        <f t="array" ref="F439">_xlfn.IFS(Table24[[#This Row],[QuantityInStock]]&lt;=Table24[[#This Row],[ReorderPoint]],"Low Stock",Table24[[#This Row],[QuantityInStock]]&gt;Table24[[#This Row],[ReorderPoint]],"Adequate Stock",Table24[[#This Row],[QuantityInStock]]=0,"Out Of Stock")</f>
        <v>Low Stock</v>
      </c>
      <c r="G439" s="2" t="s">
        <v>516</v>
      </c>
      <c r="H439" s="2" t="s">
        <v>520</v>
      </c>
      <c r="I439" s="2">
        <v>14</v>
      </c>
      <c r="J439" s="2" t="s">
        <v>528</v>
      </c>
      <c r="K439" s="2">
        <v>150.9</v>
      </c>
      <c r="L439" s="2">
        <f>Table24[[#This Row],[QuantityInStock]]*Table24[[#This Row],[UnitCost]]</f>
        <v>3621.6000000000004</v>
      </c>
    </row>
    <row r="440" spans="1:12" x14ac:dyDescent="0.3">
      <c r="A440" s="2" t="s">
        <v>447</v>
      </c>
      <c r="B440" s="2" t="s">
        <v>515</v>
      </c>
      <c r="C440" s="2" t="str">
        <f>_xlfn.XLOOKUP(Table24[[#This Row],[ProductName]],Table4[Product name],Table4[Category],"Not Found",0)</f>
        <v>Electronics</v>
      </c>
      <c r="D440" s="2">
        <v>362</v>
      </c>
      <c r="E440" s="2">
        <v>97</v>
      </c>
      <c r="F440" s="2" t="str" cm="1">
        <f t="array" ref="F440">_xlfn.IFS(Table24[[#This Row],[QuantityInStock]]&lt;=Table24[[#This Row],[ReorderPoint]],"Low Stock",Table24[[#This Row],[QuantityInStock]]&gt;Table24[[#This Row],[ReorderPoint]],"Adequate Stock",Table24[[#This Row],[QuantityInStock]]=0,"Out Of Stock")</f>
        <v>Adequate Stock</v>
      </c>
      <c r="G440" s="2" t="s">
        <v>516</v>
      </c>
      <c r="H440" s="2" t="s">
        <v>520</v>
      </c>
      <c r="I440" s="2">
        <v>8</v>
      </c>
      <c r="J440" s="2" t="s">
        <v>528</v>
      </c>
      <c r="K440" s="2">
        <v>13.07</v>
      </c>
      <c r="L440" s="2">
        <f>Table24[[#This Row],[QuantityInStock]]*Table24[[#This Row],[UnitCost]]</f>
        <v>4731.34</v>
      </c>
    </row>
    <row r="441" spans="1:12" x14ac:dyDescent="0.3">
      <c r="A441" s="2" t="s">
        <v>448</v>
      </c>
      <c r="B441" s="2" t="s">
        <v>514</v>
      </c>
      <c r="C441" s="2" t="str">
        <f>_xlfn.XLOOKUP(Table24[[#This Row],[ProductName]],Table4[Product name],Table4[Category],"Not Found",0)</f>
        <v>Furniture</v>
      </c>
      <c r="D441" s="2">
        <v>278</v>
      </c>
      <c r="E441" s="2">
        <v>97</v>
      </c>
      <c r="F441" s="2" t="str" cm="1">
        <f t="array" ref="F441">_xlfn.IFS(Table24[[#This Row],[QuantityInStock]]&lt;=Table24[[#This Row],[ReorderPoint]],"Low Stock",Table24[[#This Row],[QuantityInStock]]&gt;Table24[[#This Row],[ReorderPoint]],"Adequate Stock",Table24[[#This Row],[QuantityInStock]]=0,"Out Of Stock")</f>
        <v>Adequate Stock</v>
      </c>
      <c r="G441" s="2" t="s">
        <v>518</v>
      </c>
      <c r="H441" s="2" t="s">
        <v>522</v>
      </c>
      <c r="I441" s="2">
        <v>3</v>
      </c>
      <c r="J441" s="2" t="s">
        <v>528</v>
      </c>
      <c r="K441" s="2">
        <v>58.03</v>
      </c>
      <c r="L441" s="2">
        <f>Table24[[#This Row],[QuantityInStock]]*Table24[[#This Row],[UnitCost]]</f>
        <v>16132.34</v>
      </c>
    </row>
    <row r="442" spans="1:12" x14ac:dyDescent="0.3">
      <c r="A442" s="2" t="s">
        <v>449</v>
      </c>
      <c r="B442" s="2" t="s">
        <v>514</v>
      </c>
      <c r="C442" s="2" t="str">
        <f>_xlfn.XLOOKUP(Table24[[#This Row],[ProductName]],Table4[Product name],Table4[Category],"Not Found",0)</f>
        <v>Furniture</v>
      </c>
      <c r="D442" s="2">
        <v>421</v>
      </c>
      <c r="E442" s="2">
        <v>100</v>
      </c>
      <c r="F442" s="2" t="str" cm="1">
        <f t="array" ref="F442">_xlfn.IFS(Table24[[#This Row],[QuantityInStock]]&lt;=Table24[[#This Row],[ReorderPoint]],"Low Stock",Table24[[#This Row],[QuantityInStock]]&gt;Table24[[#This Row],[ReorderPoint]],"Adequate Stock",Table24[[#This Row],[QuantityInStock]]=0,"Out Of Stock")</f>
        <v>Adequate Stock</v>
      </c>
      <c r="G442" s="2" t="s">
        <v>519</v>
      </c>
      <c r="H442" s="2" t="s">
        <v>523</v>
      </c>
      <c r="I442" s="2">
        <v>21</v>
      </c>
      <c r="J442" s="2" t="s">
        <v>525</v>
      </c>
      <c r="K442" s="2">
        <v>51.69</v>
      </c>
      <c r="L442" s="2">
        <f>Table24[[#This Row],[QuantityInStock]]*Table24[[#This Row],[UnitCost]]</f>
        <v>21761.489999999998</v>
      </c>
    </row>
    <row r="443" spans="1:12" x14ac:dyDescent="0.3">
      <c r="A443" s="2" t="s">
        <v>450</v>
      </c>
      <c r="B443" s="2" t="s">
        <v>514</v>
      </c>
      <c r="C443" s="2" t="str">
        <f>_xlfn.XLOOKUP(Table24[[#This Row],[ProductName]],Table4[Product name],Table4[Category],"Not Found",0)</f>
        <v>Furniture</v>
      </c>
      <c r="D443" s="2">
        <v>449</v>
      </c>
      <c r="E443" s="2">
        <v>52</v>
      </c>
      <c r="F443" s="2" t="str" cm="1">
        <f t="array" ref="F443">_xlfn.IFS(Table24[[#This Row],[QuantityInStock]]&lt;=Table24[[#This Row],[ReorderPoint]],"Low Stock",Table24[[#This Row],[QuantityInStock]]&gt;Table24[[#This Row],[ReorderPoint]],"Adequate Stock",Table24[[#This Row],[QuantityInStock]]=0,"Out Of Stock")</f>
        <v>Adequate Stock</v>
      </c>
      <c r="G443" s="2" t="s">
        <v>519</v>
      </c>
      <c r="H443" s="2" t="s">
        <v>523</v>
      </c>
      <c r="I443" s="2">
        <v>21</v>
      </c>
      <c r="J443" s="2" t="s">
        <v>525</v>
      </c>
      <c r="K443" s="2">
        <v>168.89</v>
      </c>
      <c r="L443" s="2">
        <f>Table24[[#This Row],[QuantityInStock]]*Table24[[#This Row],[UnitCost]]</f>
        <v>75831.61</v>
      </c>
    </row>
    <row r="444" spans="1:12" x14ac:dyDescent="0.3">
      <c r="A444" s="2" t="s">
        <v>451</v>
      </c>
      <c r="B444" s="2" t="s">
        <v>515</v>
      </c>
      <c r="C444" s="2" t="str">
        <f>_xlfn.XLOOKUP(Table24[[#This Row],[ProductName]],Table4[Product name],Table4[Category],"Not Found",0)</f>
        <v>Electronics</v>
      </c>
      <c r="D444" s="2">
        <v>361</v>
      </c>
      <c r="E444" s="2">
        <v>92</v>
      </c>
      <c r="F444" s="2" t="str" cm="1">
        <f t="array" ref="F444">_xlfn.IFS(Table24[[#This Row],[QuantityInStock]]&lt;=Table24[[#This Row],[ReorderPoint]],"Low Stock",Table24[[#This Row],[QuantityInStock]]&gt;Table24[[#This Row],[ReorderPoint]],"Adequate Stock",Table24[[#This Row],[QuantityInStock]]=0,"Out Of Stock")</f>
        <v>Adequate Stock</v>
      </c>
      <c r="G444" s="2" t="s">
        <v>519</v>
      </c>
      <c r="H444" s="2" t="s">
        <v>523</v>
      </c>
      <c r="I444" s="2">
        <v>6</v>
      </c>
      <c r="J444" s="2" t="s">
        <v>524</v>
      </c>
      <c r="K444" s="2">
        <v>78.41</v>
      </c>
      <c r="L444" s="2">
        <f>Table24[[#This Row],[QuantityInStock]]*Table24[[#This Row],[UnitCost]]</f>
        <v>28306.01</v>
      </c>
    </row>
    <row r="445" spans="1:12" x14ac:dyDescent="0.3">
      <c r="A445" s="2" t="s">
        <v>452</v>
      </c>
      <c r="B445" s="2" t="s">
        <v>510</v>
      </c>
      <c r="C445" s="2" t="str">
        <f>_xlfn.XLOOKUP(Table24[[#This Row],[ProductName]],Table4[Product name],Table4[Category],"Not Found",0)</f>
        <v>Electronics</v>
      </c>
      <c r="D445" s="2">
        <v>258</v>
      </c>
      <c r="E445" s="2">
        <v>62</v>
      </c>
      <c r="F445" s="2" t="str" cm="1">
        <f t="array" ref="F445">_xlfn.IFS(Table24[[#This Row],[QuantityInStock]]&lt;=Table24[[#This Row],[ReorderPoint]],"Low Stock",Table24[[#This Row],[QuantityInStock]]&gt;Table24[[#This Row],[ReorderPoint]],"Adequate Stock",Table24[[#This Row],[QuantityInStock]]=0,"Out Of Stock")</f>
        <v>Adequate Stock</v>
      </c>
      <c r="G445" s="2" t="s">
        <v>519</v>
      </c>
      <c r="H445" s="2" t="s">
        <v>523</v>
      </c>
      <c r="I445" s="2">
        <v>18</v>
      </c>
      <c r="J445" s="2" t="s">
        <v>528</v>
      </c>
      <c r="K445" s="2">
        <v>40.72</v>
      </c>
      <c r="L445" s="2">
        <f>Table24[[#This Row],[QuantityInStock]]*Table24[[#This Row],[UnitCost]]</f>
        <v>10505.76</v>
      </c>
    </row>
    <row r="446" spans="1:12" x14ac:dyDescent="0.3">
      <c r="A446" s="2" t="s">
        <v>453</v>
      </c>
      <c r="B446" s="2" t="s">
        <v>511</v>
      </c>
      <c r="C446" s="2" t="str">
        <f>_xlfn.XLOOKUP(Table24[[#This Row],[ProductName]],Table4[Product name],Table4[Category],"Not Found",0)</f>
        <v>Electronics</v>
      </c>
      <c r="D446" s="2">
        <v>330</v>
      </c>
      <c r="E446" s="2">
        <v>75</v>
      </c>
      <c r="F446" s="2" t="str" cm="1">
        <f t="array" ref="F446">_xlfn.IFS(Table24[[#This Row],[QuantityInStock]]&lt;=Table24[[#This Row],[ReorderPoint]],"Low Stock",Table24[[#This Row],[QuantityInStock]]&gt;Table24[[#This Row],[ReorderPoint]],"Adequate Stock",Table24[[#This Row],[QuantityInStock]]=0,"Out Of Stock")</f>
        <v>Adequate Stock</v>
      </c>
      <c r="G446" s="2" t="s">
        <v>518</v>
      </c>
      <c r="H446" s="2" t="s">
        <v>522</v>
      </c>
      <c r="I446" s="2">
        <v>11</v>
      </c>
      <c r="J446" s="2" t="s">
        <v>528</v>
      </c>
      <c r="K446" s="2">
        <v>33.4</v>
      </c>
      <c r="L446" s="2">
        <f>Table24[[#This Row],[QuantityInStock]]*Table24[[#This Row],[UnitCost]]</f>
        <v>11022</v>
      </c>
    </row>
    <row r="447" spans="1:12" x14ac:dyDescent="0.3">
      <c r="A447" s="2" t="s">
        <v>454</v>
      </c>
      <c r="B447" s="2" t="s">
        <v>511</v>
      </c>
      <c r="C447" s="2" t="str">
        <f>_xlfn.XLOOKUP(Table24[[#This Row],[ProductName]],Table4[Product name],Table4[Category],"Not Found",0)</f>
        <v>Electronics</v>
      </c>
      <c r="D447" s="2">
        <v>83</v>
      </c>
      <c r="E447" s="2">
        <v>88</v>
      </c>
      <c r="F447" s="2" t="str" cm="1">
        <f t="array" ref="F447">_xlfn.IFS(Table24[[#This Row],[QuantityInStock]]&lt;=Table24[[#This Row],[ReorderPoint]],"Low Stock",Table24[[#This Row],[QuantityInStock]]&gt;Table24[[#This Row],[ReorderPoint]],"Adequate Stock",Table24[[#This Row],[QuantityInStock]]=0,"Out Of Stock")</f>
        <v>Low Stock</v>
      </c>
      <c r="G447" s="2" t="s">
        <v>517</v>
      </c>
      <c r="H447" s="2" t="s">
        <v>521</v>
      </c>
      <c r="I447" s="2">
        <v>12</v>
      </c>
      <c r="J447" s="2" t="s">
        <v>528</v>
      </c>
      <c r="K447" s="2">
        <v>135.38999999999999</v>
      </c>
      <c r="L447" s="2">
        <f>Table24[[#This Row],[QuantityInStock]]*Table24[[#This Row],[UnitCost]]</f>
        <v>11237.369999999999</v>
      </c>
    </row>
    <row r="448" spans="1:12" x14ac:dyDescent="0.3">
      <c r="A448" s="2" t="s">
        <v>455</v>
      </c>
      <c r="B448" s="2" t="s">
        <v>509</v>
      </c>
      <c r="C448" s="2" t="str">
        <f>_xlfn.XLOOKUP(Table24[[#This Row],[ProductName]],Table4[Product name],Table4[Category],"Not Found",0)</f>
        <v>Electronics</v>
      </c>
      <c r="D448" s="2">
        <v>186</v>
      </c>
      <c r="E448" s="2">
        <v>41</v>
      </c>
      <c r="F448" s="2" t="str" cm="1">
        <f t="array" ref="F448">_xlfn.IFS(Table24[[#This Row],[QuantityInStock]]&lt;=Table24[[#This Row],[ReorderPoint]],"Low Stock",Table24[[#This Row],[QuantityInStock]]&gt;Table24[[#This Row],[ReorderPoint]],"Adequate Stock",Table24[[#This Row],[QuantityInStock]]=0,"Out Of Stock")</f>
        <v>Adequate Stock</v>
      </c>
      <c r="G448" s="2" t="s">
        <v>519</v>
      </c>
      <c r="H448" s="2" t="s">
        <v>523</v>
      </c>
      <c r="I448" s="2">
        <v>17</v>
      </c>
      <c r="J448" s="2" t="s">
        <v>525</v>
      </c>
      <c r="K448" s="2">
        <v>54.66</v>
      </c>
      <c r="L448" s="2">
        <f>Table24[[#This Row],[QuantityInStock]]*Table24[[#This Row],[UnitCost]]</f>
        <v>10166.76</v>
      </c>
    </row>
    <row r="449" spans="1:12" x14ac:dyDescent="0.3">
      <c r="A449" s="2" t="s">
        <v>456</v>
      </c>
      <c r="B449" s="2" t="s">
        <v>514</v>
      </c>
      <c r="C449" s="2" t="str">
        <f>_xlfn.XLOOKUP(Table24[[#This Row],[ProductName]],Table4[Product name],Table4[Category],"Not Found",0)</f>
        <v>Furniture</v>
      </c>
      <c r="D449" s="2">
        <v>63</v>
      </c>
      <c r="E449" s="2">
        <v>71</v>
      </c>
      <c r="F449" s="2" t="str" cm="1">
        <f t="array" ref="F449">_xlfn.IFS(Table24[[#This Row],[QuantityInStock]]&lt;=Table24[[#This Row],[ReorderPoint]],"Low Stock",Table24[[#This Row],[QuantityInStock]]&gt;Table24[[#This Row],[ReorderPoint]],"Adequate Stock",Table24[[#This Row],[QuantityInStock]]=0,"Out Of Stock")</f>
        <v>Low Stock</v>
      </c>
      <c r="G449" s="2" t="s">
        <v>518</v>
      </c>
      <c r="H449" s="2" t="s">
        <v>522</v>
      </c>
      <c r="I449" s="2">
        <v>6</v>
      </c>
      <c r="J449" s="2" t="s">
        <v>525</v>
      </c>
      <c r="K449" s="2">
        <v>152.72</v>
      </c>
      <c r="L449" s="2">
        <f>Table24[[#This Row],[QuantityInStock]]*Table24[[#This Row],[UnitCost]]</f>
        <v>9621.36</v>
      </c>
    </row>
    <row r="450" spans="1:12" x14ac:dyDescent="0.3">
      <c r="A450" s="2" t="s">
        <v>457</v>
      </c>
      <c r="B450" s="2" t="s">
        <v>510</v>
      </c>
      <c r="C450" s="2" t="str">
        <f>_xlfn.XLOOKUP(Table24[[#This Row],[ProductName]],Table4[Product name],Table4[Category],"Not Found",0)</f>
        <v>Electronics</v>
      </c>
      <c r="D450" s="2">
        <v>494</v>
      </c>
      <c r="E450" s="2">
        <v>60</v>
      </c>
      <c r="F450" s="2" t="str" cm="1">
        <f t="array" ref="F450">_xlfn.IFS(Table24[[#This Row],[QuantityInStock]]&lt;=Table24[[#This Row],[ReorderPoint]],"Low Stock",Table24[[#This Row],[QuantityInStock]]&gt;Table24[[#This Row],[ReorderPoint]],"Adequate Stock",Table24[[#This Row],[QuantityInStock]]=0,"Out Of Stock")</f>
        <v>Adequate Stock</v>
      </c>
      <c r="G450" s="2" t="s">
        <v>519</v>
      </c>
      <c r="H450" s="2" t="s">
        <v>523</v>
      </c>
      <c r="I450" s="2">
        <v>3</v>
      </c>
      <c r="J450" s="2" t="s">
        <v>526</v>
      </c>
      <c r="K450" s="2">
        <v>160.38999999999999</v>
      </c>
      <c r="L450" s="2">
        <f>Table24[[#This Row],[QuantityInStock]]*Table24[[#This Row],[UnitCost]]</f>
        <v>79232.659999999989</v>
      </c>
    </row>
    <row r="451" spans="1:12" x14ac:dyDescent="0.3">
      <c r="A451" s="2" t="s">
        <v>458</v>
      </c>
      <c r="B451" s="2" t="s">
        <v>509</v>
      </c>
      <c r="C451" s="2" t="str">
        <f>_xlfn.XLOOKUP(Table24[[#This Row],[ProductName]],Table4[Product name],Table4[Category],"Not Found",0)</f>
        <v>Electronics</v>
      </c>
      <c r="D451" s="2">
        <v>173</v>
      </c>
      <c r="E451" s="2">
        <v>41</v>
      </c>
      <c r="F451" s="2" t="str" cm="1">
        <f t="array" ref="F451">_xlfn.IFS(Table24[[#This Row],[QuantityInStock]]&lt;=Table24[[#This Row],[ReorderPoint]],"Low Stock",Table24[[#This Row],[QuantityInStock]]&gt;Table24[[#This Row],[ReorderPoint]],"Adequate Stock",Table24[[#This Row],[QuantityInStock]]=0,"Out Of Stock")</f>
        <v>Adequate Stock</v>
      </c>
      <c r="G451" s="2" t="s">
        <v>518</v>
      </c>
      <c r="H451" s="2" t="s">
        <v>522</v>
      </c>
      <c r="I451" s="2">
        <v>18</v>
      </c>
      <c r="J451" s="2" t="s">
        <v>528</v>
      </c>
      <c r="K451" s="2">
        <v>172.6</v>
      </c>
      <c r="L451" s="2">
        <f>Table24[[#This Row],[QuantityInStock]]*Table24[[#This Row],[UnitCost]]</f>
        <v>29859.8</v>
      </c>
    </row>
    <row r="452" spans="1:12" x14ac:dyDescent="0.3">
      <c r="A452" s="2" t="s">
        <v>459</v>
      </c>
      <c r="B452" s="2" t="s">
        <v>515</v>
      </c>
      <c r="C452" s="2" t="str">
        <f>_xlfn.XLOOKUP(Table24[[#This Row],[ProductName]],Table4[Product name],Table4[Category],"Not Found",0)</f>
        <v>Electronics</v>
      </c>
      <c r="D452" s="2">
        <v>146</v>
      </c>
      <c r="E452" s="2">
        <v>64</v>
      </c>
      <c r="F452" s="2" t="str" cm="1">
        <f t="array" ref="F452">_xlfn.IFS(Table24[[#This Row],[QuantityInStock]]&lt;=Table24[[#This Row],[ReorderPoint]],"Low Stock",Table24[[#This Row],[QuantityInStock]]&gt;Table24[[#This Row],[ReorderPoint]],"Adequate Stock",Table24[[#This Row],[QuantityInStock]]=0,"Out Of Stock")</f>
        <v>Adequate Stock</v>
      </c>
      <c r="G452" s="2" t="s">
        <v>517</v>
      </c>
      <c r="H452" s="2" t="s">
        <v>521</v>
      </c>
      <c r="I452" s="2">
        <v>8</v>
      </c>
      <c r="J452" s="2" t="s">
        <v>527</v>
      </c>
      <c r="K452" s="2">
        <v>178.01</v>
      </c>
      <c r="L452" s="2">
        <f>Table24[[#This Row],[QuantityInStock]]*Table24[[#This Row],[UnitCost]]</f>
        <v>25989.46</v>
      </c>
    </row>
    <row r="453" spans="1:12" x14ac:dyDescent="0.3">
      <c r="A453" s="2" t="s">
        <v>460</v>
      </c>
      <c r="B453" s="2" t="s">
        <v>511</v>
      </c>
      <c r="C453" s="2" t="str">
        <f>_xlfn.XLOOKUP(Table24[[#This Row],[ProductName]],Table4[Product name],Table4[Category],"Not Found",0)</f>
        <v>Electronics</v>
      </c>
      <c r="D453" s="2">
        <v>8</v>
      </c>
      <c r="E453" s="2">
        <v>84</v>
      </c>
      <c r="F453" s="2" t="str" cm="1">
        <f t="array" ref="F453">_xlfn.IFS(Table24[[#This Row],[QuantityInStock]]&lt;=Table24[[#This Row],[ReorderPoint]],"Low Stock",Table24[[#This Row],[QuantityInStock]]&gt;Table24[[#This Row],[ReorderPoint]],"Adequate Stock",Table24[[#This Row],[QuantityInStock]]=0,"Out Of Stock")</f>
        <v>Low Stock</v>
      </c>
      <c r="G453" s="2" t="s">
        <v>517</v>
      </c>
      <c r="H453" s="2" t="s">
        <v>521</v>
      </c>
      <c r="I453" s="2">
        <v>5</v>
      </c>
      <c r="J453" s="2" t="s">
        <v>526</v>
      </c>
      <c r="K453" s="2">
        <v>30.68</v>
      </c>
      <c r="L453" s="2">
        <f>Table24[[#This Row],[QuantityInStock]]*Table24[[#This Row],[UnitCost]]</f>
        <v>245.44</v>
      </c>
    </row>
    <row r="454" spans="1:12" x14ac:dyDescent="0.3">
      <c r="A454" s="2" t="s">
        <v>461</v>
      </c>
      <c r="B454" s="2" t="s">
        <v>513</v>
      </c>
      <c r="C454" s="2" t="str">
        <f>_xlfn.XLOOKUP(Table24[[#This Row],[ProductName]],Table4[Product name],Table4[Category],"Not Found",0)</f>
        <v>Electronics</v>
      </c>
      <c r="D454" s="2">
        <v>337</v>
      </c>
      <c r="E454" s="2">
        <v>93</v>
      </c>
      <c r="F454" s="2" t="str" cm="1">
        <f t="array" ref="F454">_xlfn.IFS(Table24[[#This Row],[QuantityInStock]]&lt;=Table24[[#This Row],[ReorderPoint]],"Low Stock",Table24[[#This Row],[QuantityInStock]]&gt;Table24[[#This Row],[ReorderPoint]],"Adequate Stock",Table24[[#This Row],[QuantityInStock]]=0,"Out Of Stock")</f>
        <v>Adequate Stock</v>
      </c>
      <c r="G454" s="2" t="s">
        <v>519</v>
      </c>
      <c r="H454" s="2" t="s">
        <v>523</v>
      </c>
      <c r="I454" s="2">
        <v>3</v>
      </c>
      <c r="J454" s="2" t="s">
        <v>524</v>
      </c>
      <c r="K454" s="2">
        <v>4.2</v>
      </c>
      <c r="L454" s="2">
        <f>Table24[[#This Row],[QuantityInStock]]*Table24[[#This Row],[UnitCost]]</f>
        <v>1415.4</v>
      </c>
    </row>
    <row r="455" spans="1:12" x14ac:dyDescent="0.3">
      <c r="A455" s="2" t="s">
        <v>462</v>
      </c>
      <c r="B455" s="2" t="s">
        <v>515</v>
      </c>
      <c r="C455" s="2" t="str">
        <f>_xlfn.XLOOKUP(Table24[[#This Row],[ProductName]],Table4[Product name],Table4[Category],"Not Found",0)</f>
        <v>Electronics</v>
      </c>
      <c r="D455" s="2">
        <v>448</v>
      </c>
      <c r="E455" s="2">
        <v>69</v>
      </c>
      <c r="F455" s="2" t="str" cm="1">
        <f t="array" ref="F455">_xlfn.IFS(Table24[[#This Row],[QuantityInStock]]&lt;=Table24[[#This Row],[ReorderPoint]],"Low Stock",Table24[[#This Row],[QuantityInStock]]&gt;Table24[[#This Row],[ReorderPoint]],"Adequate Stock",Table24[[#This Row],[QuantityInStock]]=0,"Out Of Stock")</f>
        <v>Adequate Stock</v>
      </c>
      <c r="G455" s="2" t="s">
        <v>519</v>
      </c>
      <c r="H455" s="2" t="s">
        <v>523</v>
      </c>
      <c r="I455" s="2">
        <v>10</v>
      </c>
      <c r="J455" s="2" t="s">
        <v>524</v>
      </c>
      <c r="K455" s="2">
        <v>108.09</v>
      </c>
      <c r="L455" s="2">
        <f>Table24[[#This Row],[QuantityInStock]]*Table24[[#This Row],[UnitCost]]</f>
        <v>48424.32</v>
      </c>
    </row>
    <row r="456" spans="1:12" x14ac:dyDescent="0.3">
      <c r="A456" s="2" t="s">
        <v>463</v>
      </c>
      <c r="B456" s="2" t="s">
        <v>515</v>
      </c>
      <c r="C456" s="2" t="str">
        <f>_xlfn.XLOOKUP(Table24[[#This Row],[ProductName]],Table4[Product name],Table4[Category],"Not Found",0)</f>
        <v>Electronics</v>
      </c>
      <c r="D456" s="2">
        <v>319</v>
      </c>
      <c r="E456" s="2">
        <v>36</v>
      </c>
      <c r="F456" s="2" t="str" cm="1">
        <f t="array" ref="F456">_xlfn.IFS(Table24[[#This Row],[QuantityInStock]]&lt;=Table24[[#This Row],[ReorderPoint]],"Low Stock",Table24[[#This Row],[QuantityInStock]]&gt;Table24[[#This Row],[ReorderPoint]],"Adequate Stock",Table24[[#This Row],[QuantityInStock]]=0,"Out Of Stock")</f>
        <v>Adequate Stock</v>
      </c>
      <c r="G456" s="2" t="s">
        <v>518</v>
      </c>
      <c r="H456" s="2" t="s">
        <v>522</v>
      </c>
      <c r="I456" s="2">
        <v>3</v>
      </c>
      <c r="J456" s="2" t="s">
        <v>528</v>
      </c>
      <c r="K456" s="2">
        <v>70.81</v>
      </c>
      <c r="L456" s="2">
        <f>Table24[[#This Row],[QuantityInStock]]*Table24[[#This Row],[UnitCost]]</f>
        <v>22588.39</v>
      </c>
    </row>
    <row r="457" spans="1:12" x14ac:dyDescent="0.3">
      <c r="A457" s="2" t="s">
        <v>464</v>
      </c>
      <c r="B457" s="2" t="s">
        <v>515</v>
      </c>
      <c r="C457" s="2" t="str">
        <f>_xlfn.XLOOKUP(Table24[[#This Row],[ProductName]],Table4[Product name],Table4[Category],"Not Found",0)</f>
        <v>Electronics</v>
      </c>
      <c r="D457" s="2">
        <v>162</v>
      </c>
      <c r="E457" s="2">
        <v>84</v>
      </c>
      <c r="F457" s="2" t="str" cm="1">
        <f t="array" ref="F457">_xlfn.IFS(Table24[[#This Row],[QuantityInStock]]&lt;=Table24[[#This Row],[ReorderPoint]],"Low Stock",Table24[[#This Row],[QuantityInStock]]&gt;Table24[[#This Row],[ReorderPoint]],"Adequate Stock",Table24[[#This Row],[QuantityInStock]]=0,"Out Of Stock")</f>
        <v>Adequate Stock</v>
      </c>
      <c r="G457" s="2" t="s">
        <v>518</v>
      </c>
      <c r="H457" s="2" t="s">
        <v>522</v>
      </c>
      <c r="I457" s="2">
        <v>4</v>
      </c>
      <c r="J457" s="2" t="s">
        <v>528</v>
      </c>
      <c r="K457" s="2">
        <v>109.81</v>
      </c>
      <c r="L457" s="2">
        <f>Table24[[#This Row],[QuantityInStock]]*Table24[[#This Row],[UnitCost]]</f>
        <v>17789.22</v>
      </c>
    </row>
    <row r="458" spans="1:12" x14ac:dyDescent="0.3">
      <c r="A458" s="2" t="s">
        <v>465</v>
      </c>
      <c r="B458" s="2" t="s">
        <v>512</v>
      </c>
      <c r="C458" s="2" t="str">
        <f>_xlfn.XLOOKUP(Table24[[#This Row],[ProductName]],Table4[Product name],Table4[Category],"Not Found",0)</f>
        <v>Furniture</v>
      </c>
      <c r="D458" s="2">
        <v>466</v>
      </c>
      <c r="E458" s="2">
        <v>66</v>
      </c>
      <c r="F458" s="2" t="str" cm="1">
        <f t="array" ref="F458">_xlfn.IFS(Table24[[#This Row],[QuantityInStock]]&lt;=Table24[[#This Row],[ReorderPoint]],"Low Stock",Table24[[#This Row],[QuantityInStock]]&gt;Table24[[#This Row],[ReorderPoint]],"Adequate Stock",Table24[[#This Row],[QuantityInStock]]=0,"Out Of Stock")</f>
        <v>Adequate Stock</v>
      </c>
      <c r="G458" s="2" t="s">
        <v>519</v>
      </c>
      <c r="H458" s="2" t="s">
        <v>523</v>
      </c>
      <c r="I458" s="2">
        <v>16</v>
      </c>
      <c r="J458" s="2" t="s">
        <v>528</v>
      </c>
      <c r="K458" s="2">
        <v>162.41</v>
      </c>
      <c r="L458" s="2">
        <f>Table24[[#This Row],[QuantityInStock]]*Table24[[#This Row],[UnitCost]]</f>
        <v>75683.06</v>
      </c>
    </row>
    <row r="459" spans="1:12" x14ac:dyDescent="0.3">
      <c r="A459" s="2" t="s">
        <v>466</v>
      </c>
      <c r="B459" s="2" t="s">
        <v>514</v>
      </c>
      <c r="C459" s="2" t="str">
        <f>_xlfn.XLOOKUP(Table24[[#This Row],[ProductName]],Table4[Product name],Table4[Category],"Not Found",0)</f>
        <v>Furniture</v>
      </c>
      <c r="D459" s="2">
        <v>87</v>
      </c>
      <c r="E459" s="2">
        <v>91</v>
      </c>
      <c r="F459" s="2" t="str" cm="1">
        <f t="array" ref="F459">_xlfn.IFS(Table24[[#This Row],[QuantityInStock]]&lt;=Table24[[#This Row],[ReorderPoint]],"Low Stock",Table24[[#This Row],[QuantityInStock]]&gt;Table24[[#This Row],[ReorderPoint]],"Adequate Stock",Table24[[#This Row],[QuantityInStock]]=0,"Out Of Stock")</f>
        <v>Low Stock</v>
      </c>
      <c r="G459" s="2" t="s">
        <v>519</v>
      </c>
      <c r="H459" s="2" t="s">
        <v>523</v>
      </c>
      <c r="I459" s="2">
        <v>18</v>
      </c>
      <c r="J459" s="2" t="s">
        <v>526</v>
      </c>
      <c r="K459" s="2">
        <v>10.63</v>
      </c>
      <c r="L459" s="2">
        <f>Table24[[#This Row],[QuantityInStock]]*Table24[[#This Row],[UnitCost]]</f>
        <v>924.81000000000006</v>
      </c>
    </row>
    <row r="460" spans="1:12" x14ac:dyDescent="0.3">
      <c r="A460" s="2" t="s">
        <v>467</v>
      </c>
      <c r="B460" s="2" t="s">
        <v>510</v>
      </c>
      <c r="C460" s="2" t="str">
        <f>_xlfn.XLOOKUP(Table24[[#This Row],[ProductName]],Table4[Product name],Table4[Category],"Not Found",0)</f>
        <v>Electronics</v>
      </c>
      <c r="D460" s="2">
        <v>333</v>
      </c>
      <c r="E460" s="2">
        <v>20</v>
      </c>
      <c r="F460" s="2" t="str" cm="1">
        <f t="array" ref="F460">_xlfn.IFS(Table24[[#This Row],[QuantityInStock]]&lt;=Table24[[#This Row],[ReorderPoint]],"Low Stock",Table24[[#This Row],[QuantityInStock]]&gt;Table24[[#This Row],[ReorderPoint]],"Adequate Stock",Table24[[#This Row],[QuantityInStock]]=0,"Out Of Stock")</f>
        <v>Adequate Stock</v>
      </c>
      <c r="G460" s="2" t="s">
        <v>516</v>
      </c>
      <c r="H460" s="2" t="s">
        <v>520</v>
      </c>
      <c r="I460" s="2">
        <v>16</v>
      </c>
      <c r="J460" s="2" t="s">
        <v>524</v>
      </c>
      <c r="K460" s="2">
        <v>117.94</v>
      </c>
      <c r="L460" s="2">
        <f>Table24[[#This Row],[QuantityInStock]]*Table24[[#This Row],[UnitCost]]</f>
        <v>39274.019999999997</v>
      </c>
    </row>
    <row r="461" spans="1:12" x14ac:dyDescent="0.3">
      <c r="A461" s="2" t="s">
        <v>468</v>
      </c>
      <c r="B461" s="2" t="s">
        <v>510</v>
      </c>
      <c r="C461" s="2" t="str">
        <f>_xlfn.XLOOKUP(Table24[[#This Row],[ProductName]],Table4[Product name],Table4[Category],"Not Found",0)</f>
        <v>Electronics</v>
      </c>
      <c r="D461" s="2">
        <v>63</v>
      </c>
      <c r="E461" s="2">
        <v>100</v>
      </c>
      <c r="F461" s="2" t="str" cm="1">
        <f t="array" ref="F461">_xlfn.IFS(Table24[[#This Row],[QuantityInStock]]&lt;=Table24[[#This Row],[ReorderPoint]],"Low Stock",Table24[[#This Row],[QuantityInStock]]&gt;Table24[[#This Row],[ReorderPoint]],"Adequate Stock",Table24[[#This Row],[QuantityInStock]]=0,"Out Of Stock")</f>
        <v>Low Stock</v>
      </c>
      <c r="G461" s="2" t="s">
        <v>518</v>
      </c>
      <c r="H461" s="2" t="s">
        <v>522</v>
      </c>
      <c r="I461" s="2">
        <v>13</v>
      </c>
      <c r="J461" s="2" t="s">
        <v>526</v>
      </c>
      <c r="K461" s="2">
        <v>171.33</v>
      </c>
      <c r="L461" s="2">
        <f>Table24[[#This Row],[QuantityInStock]]*Table24[[#This Row],[UnitCost]]</f>
        <v>10793.79</v>
      </c>
    </row>
    <row r="462" spans="1:12" x14ac:dyDescent="0.3">
      <c r="A462" s="2" t="s">
        <v>469</v>
      </c>
      <c r="B462" s="2" t="s">
        <v>510</v>
      </c>
      <c r="C462" s="2" t="str">
        <f>_xlfn.XLOOKUP(Table24[[#This Row],[ProductName]],Table4[Product name],Table4[Category],"Not Found",0)</f>
        <v>Electronics</v>
      </c>
      <c r="D462" s="2">
        <v>253</v>
      </c>
      <c r="E462" s="2">
        <v>49</v>
      </c>
      <c r="F462" s="2" t="str" cm="1">
        <f t="array" ref="F462">_xlfn.IFS(Table24[[#This Row],[QuantityInStock]]&lt;=Table24[[#This Row],[ReorderPoint]],"Low Stock",Table24[[#This Row],[QuantityInStock]]&gt;Table24[[#This Row],[ReorderPoint]],"Adequate Stock",Table24[[#This Row],[QuantityInStock]]=0,"Out Of Stock")</f>
        <v>Adequate Stock</v>
      </c>
      <c r="G462" s="2" t="s">
        <v>519</v>
      </c>
      <c r="H462" s="2" t="s">
        <v>523</v>
      </c>
      <c r="I462" s="2">
        <v>19</v>
      </c>
      <c r="J462" s="2" t="s">
        <v>525</v>
      </c>
      <c r="K462" s="2">
        <v>16.79</v>
      </c>
      <c r="L462" s="2">
        <f>Table24[[#This Row],[QuantityInStock]]*Table24[[#This Row],[UnitCost]]</f>
        <v>4247.87</v>
      </c>
    </row>
    <row r="463" spans="1:12" x14ac:dyDescent="0.3">
      <c r="A463" s="2" t="s">
        <v>470</v>
      </c>
      <c r="B463" s="2" t="s">
        <v>515</v>
      </c>
      <c r="C463" s="2" t="str">
        <f>_xlfn.XLOOKUP(Table24[[#This Row],[ProductName]],Table4[Product name],Table4[Category],"Not Found",0)</f>
        <v>Electronics</v>
      </c>
      <c r="D463" s="2">
        <v>453</v>
      </c>
      <c r="E463" s="2">
        <v>88</v>
      </c>
      <c r="F463" s="2" t="str" cm="1">
        <f t="array" ref="F463">_xlfn.IFS(Table24[[#This Row],[QuantityInStock]]&lt;=Table24[[#This Row],[ReorderPoint]],"Low Stock",Table24[[#This Row],[QuantityInStock]]&gt;Table24[[#This Row],[ReorderPoint]],"Adequate Stock",Table24[[#This Row],[QuantityInStock]]=0,"Out Of Stock")</f>
        <v>Adequate Stock</v>
      </c>
      <c r="G463" s="2" t="s">
        <v>516</v>
      </c>
      <c r="H463" s="2" t="s">
        <v>520</v>
      </c>
      <c r="I463" s="2">
        <v>21</v>
      </c>
      <c r="J463" s="2" t="s">
        <v>526</v>
      </c>
      <c r="K463" s="2">
        <v>128.54</v>
      </c>
      <c r="L463" s="2">
        <f>Table24[[#This Row],[QuantityInStock]]*Table24[[#This Row],[UnitCost]]</f>
        <v>58228.619999999995</v>
      </c>
    </row>
    <row r="464" spans="1:12" x14ac:dyDescent="0.3">
      <c r="A464" s="2" t="s">
        <v>471</v>
      </c>
      <c r="B464" s="2" t="s">
        <v>509</v>
      </c>
      <c r="C464" s="2" t="str">
        <f>_xlfn.XLOOKUP(Table24[[#This Row],[ProductName]],Table4[Product name],Table4[Category],"Not Found",0)</f>
        <v>Electronics</v>
      </c>
      <c r="D464" s="2">
        <v>3</v>
      </c>
      <c r="E464" s="2">
        <v>57</v>
      </c>
      <c r="F464" s="2" t="str" cm="1">
        <f t="array" ref="F464">_xlfn.IFS(Table24[[#This Row],[QuantityInStock]]&lt;=Table24[[#This Row],[ReorderPoint]],"Low Stock",Table24[[#This Row],[QuantityInStock]]&gt;Table24[[#This Row],[ReorderPoint]],"Adequate Stock",Table24[[#This Row],[QuantityInStock]]=0,"Out Of Stock")</f>
        <v>Low Stock</v>
      </c>
      <c r="G464" s="2" t="s">
        <v>519</v>
      </c>
      <c r="H464" s="2" t="s">
        <v>523</v>
      </c>
      <c r="I464" s="2">
        <v>18</v>
      </c>
      <c r="J464" s="2" t="s">
        <v>527</v>
      </c>
      <c r="K464" s="2">
        <v>87.48</v>
      </c>
      <c r="L464" s="2">
        <f>Table24[[#This Row],[QuantityInStock]]*Table24[[#This Row],[UnitCost]]</f>
        <v>262.44</v>
      </c>
    </row>
    <row r="465" spans="1:12" x14ac:dyDescent="0.3">
      <c r="A465" s="2" t="s">
        <v>472</v>
      </c>
      <c r="B465" s="2" t="s">
        <v>515</v>
      </c>
      <c r="C465" s="2" t="str">
        <f>_xlfn.XLOOKUP(Table24[[#This Row],[ProductName]],Table4[Product name],Table4[Category],"Not Found",0)</f>
        <v>Electronics</v>
      </c>
      <c r="D465" s="2">
        <v>227</v>
      </c>
      <c r="E465" s="2">
        <v>21</v>
      </c>
      <c r="F465" s="2" t="str" cm="1">
        <f t="array" ref="F465">_xlfn.IFS(Table24[[#This Row],[QuantityInStock]]&lt;=Table24[[#This Row],[ReorderPoint]],"Low Stock",Table24[[#This Row],[QuantityInStock]]&gt;Table24[[#This Row],[ReorderPoint]],"Adequate Stock",Table24[[#This Row],[QuantityInStock]]=0,"Out Of Stock")</f>
        <v>Adequate Stock</v>
      </c>
      <c r="G465" s="2" t="s">
        <v>518</v>
      </c>
      <c r="H465" s="2" t="s">
        <v>522</v>
      </c>
      <c r="I465" s="2">
        <v>21</v>
      </c>
      <c r="J465" s="2" t="s">
        <v>527</v>
      </c>
      <c r="K465" s="2">
        <v>58.75</v>
      </c>
      <c r="L465" s="2">
        <f>Table24[[#This Row],[QuantityInStock]]*Table24[[#This Row],[UnitCost]]</f>
        <v>13336.25</v>
      </c>
    </row>
    <row r="466" spans="1:12" x14ac:dyDescent="0.3">
      <c r="A466" s="2" t="s">
        <v>473</v>
      </c>
      <c r="B466" s="2" t="s">
        <v>511</v>
      </c>
      <c r="C466" s="2" t="str">
        <f>_xlfn.XLOOKUP(Table24[[#This Row],[ProductName]],Table4[Product name],Table4[Category],"Not Found",0)</f>
        <v>Electronics</v>
      </c>
      <c r="D466" s="2">
        <v>307</v>
      </c>
      <c r="E466" s="2">
        <v>29</v>
      </c>
      <c r="F466" s="2" t="str" cm="1">
        <f t="array" ref="F466">_xlfn.IFS(Table24[[#This Row],[QuantityInStock]]&lt;=Table24[[#This Row],[ReorderPoint]],"Low Stock",Table24[[#This Row],[QuantityInStock]]&gt;Table24[[#This Row],[ReorderPoint]],"Adequate Stock",Table24[[#This Row],[QuantityInStock]]=0,"Out Of Stock")</f>
        <v>Adequate Stock</v>
      </c>
      <c r="G466" s="2" t="s">
        <v>518</v>
      </c>
      <c r="H466" s="2" t="s">
        <v>522</v>
      </c>
      <c r="I466" s="2">
        <v>12</v>
      </c>
      <c r="J466" s="2" t="s">
        <v>527</v>
      </c>
      <c r="K466" s="2">
        <v>37.94</v>
      </c>
      <c r="L466" s="2">
        <f>Table24[[#This Row],[QuantityInStock]]*Table24[[#This Row],[UnitCost]]</f>
        <v>11647.58</v>
      </c>
    </row>
    <row r="467" spans="1:12" x14ac:dyDescent="0.3">
      <c r="A467" s="2" t="s">
        <v>474</v>
      </c>
      <c r="B467" s="2" t="s">
        <v>513</v>
      </c>
      <c r="C467" s="2" t="str">
        <f>_xlfn.XLOOKUP(Table24[[#This Row],[ProductName]],Table4[Product name],Table4[Category],"Not Found",0)</f>
        <v>Electronics</v>
      </c>
      <c r="D467" s="2">
        <v>119</v>
      </c>
      <c r="E467" s="2">
        <v>60</v>
      </c>
      <c r="F467" s="2" t="str" cm="1">
        <f t="array" ref="F467">_xlfn.IFS(Table24[[#This Row],[QuantityInStock]]&lt;=Table24[[#This Row],[ReorderPoint]],"Low Stock",Table24[[#This Row],[QuantityInStock]]&gt;Table24[[#This Row],[ReorderPoint]],"Adequate Stock",Table24[[#This Row],[QuantityInStock]]=0,"Out Of Stock")</f>
        <v>Adequate Stock</v>
      </c>
      <c r="G467" s="2" t="s">
        <v>518</v>
      </c>
      <c r="H467" s="2" t="s">
        <v>522</v>
      </c>
      <c r="I467" s="2">
        <v>3</v>
      </c>
      <c r="J467" s="2" t="s">
        <v>526</v>
      </c>
      <c r="K467" s="2">
        <v>187.62</v>
      </c>
      <c r="L467" s="2">
        <f>Table24[[#This Row],[QuantityInStock]]*Table24[[#This Row],[UnitCost]]</f>
        <v>22326.78</v>
      </c>
    </row>
    <row r="468" spans="1:12" x14ac:dyDescent="0.3">
      <c r="A468" s="2" t="s">
        <v>475</v>
      </c>
      <c r="B468" s="2" t="s">
        <v>514</v>
      </c>
      <c r="C468" s="2" t="str">
        <f>_xlfn.XLOOKUP(Table24[[#This Row],[ProductName]],Table4[Product name],Table4[Category],"Not Found",0)</f>
        <v>Furniture</v>
      </c>
      <c r="D468" s="2">
        <v>419</v>
      </c>
      <c r="E468" s="2">
        <v>27</v>
      </c>
      <c r="F468" s="2" t="str" cm="1">
        <f t="array" ref="F468">_xlfn.IFS(Table24[[#This Row],[QuantityInStock]]&lt;=Table24[[#This Row],[ReorderPoint]],"Low Stock",Table24[[#This Row],[QuantityInStock]]&gt;Table24[[#This Row],[ReorderPoint]],"Adequate Stock",Table24[[#This Row],[QuantityInStock]]=0,"Out Of Stock")</f>
        <v>Adequate Stock</v>
      </c>
      <c r="G468" s="2" t="s">
        <v>518</v>
      </c>
      <c r="H468" s="2" t="s">
        <v>522</v>
      </c>
      <c r="I468" s="2">
        <v>16</v>
      </c>
      <c r="J468" s="2" t="s">
        <v>525</v>
      </c>
      <c r="K468" s="2">
        <v>179.1</v>
      </c>
      <c r="L468" s="2">
        <f>Table24[[#This Row],[QuantityInStock]]*Table24[[#This Row],[UnitCost]]</f>
        <v>75042.899999999994</v>
      </c>
    </row>
    <row r="469" spans="1:12" x14ac:dyDescent="0.3">
      <c r="A469" s="2" t="s">
        <v>476</v>
      </c>
      <c r="B469" s="2" t="s">
        <v>511</v>
      </c>
      <c r="C469" s="2" t="str">
        <f>_xlfn.XLOOKUP(Table24[[#This Row],[ProductName]],Table4[Product name],Table4[Category],"Not Found",0)</f>
        <v>Electronics</v>
      </c>
      <c r="D469" s="2">
        <v>48</v>
      </c>
      <c r="E469" s="2">
        <v>27</v>
      </c>
      <c r="F469" s="2" t="str" cm="1">
        <f t="array" ref="F469">_xlfn.IFS(Table24[[#This Row],[QuantityInStock]]&lt;=Table24[[#This Row],[ReorderPoint]],"Low Stock",Table24[[#This Row],[QuantityInStock]]&gt;Table24[[#This Row],[ReorderPoint]],"Adequate Stock",Table24[[#This Row],[QuantityInStock]]=0,"Out Of Stock")</f>
        <v>Adequate Stock</v>
      </c>
      <c r="G469" s="2" t="s">
        <v>519</v>
      </c>
      <c r="H469" s="2" t="s">
        <v>523</v>
      </c>
      <c r="I469" s="2">
        <v>18</v>
      </c>
      <c r="J469" s="2" t="s">
        <v>527</v>
      </c>
      <c r="K469" s="2">
        <v>61.23</v>
      </c>
      <c r="L469" s="2">
        <f>Table24[[#This Row],[QuantityInStock]]*Table24[[#This Row],[UnitCost]]</f>
        <v>2939.04</v>
      </c>
    </row>
    <row r="470" spans="1:12" x14ac:dyDescent="0.3">
      <c r="A470" s="2" t="s">
        <v>477</v>
      </c>
      <c r="B470" s="2" t="s">
        <v>512</v>
      </c>
      <c r="C470" s="2" t="str">
        <f>_xlfn.XLOOKUP(Table24[[#This Row],[ProductName]],Table4[Product name],Table4[Category],"Not Found",0)</f>
        <v>Furniture</v>
      </c>
      <c r="D470" s="2">
        <v>454</v>
      </c>
      <c r="E470" s="2">
        <v>53</v>
      </c>
      <c r="F470" s="2" t="str" cm="1">
        <f t="array" ref="F470">_xlfn.IFS(Table24[[#This Row],[QuantityInStock]]&lt;=Table24[[#This Row],[ReorderPoint]],"Low Stock",Table24[[#This Row],[QuantityInStock]]&gt;Table24[[#This Row],[ReorderPoint]],"Adequate Stock",Table24[[#This Row],[QuantityInStock]]=0,"Out Of Stock")</f>
        <v>Adequate Stock</v>
      </c>
      <c r="G470" s="2" t="s">
        <v>517</v>
      </c>
      <c r="H470" s="2" t="s">
        <v>521</v>
      </c>
      <c r="I470" s="2">
        <v>19</v>
      </c>
      <c r="J470" s="2" t="s">
        <v>527</v>
      </c>
      <c r="K470" s="2">
        <v>70.62</v>
      </c>
      <c r="L470" s="2">
        <f>Table24[[#This Row],[QuantityInStock]]*Table24[[#This Row],[UnitCost]]</f>
        <v>32061.480000000003</v>
      </c>
    </row>
    <row r="471" spans="1:12" x14ac:dyDescent="0.3">
      <c r="A471" s="2" t="s">
        <v>478</v>
      </c>
      <c r="B471" s="2" t="s">
        <v>515</v>
      </c>
      <c r="C471" s="2" t="str">
        <f>_xlfn.XLOOKUP(Table24[[#This Row],[ProductName]],Table4[Product name],Table4[Category],"Not Found",0)</f>
        <v>Electronics</v>
      </c>
      <c r="D471" s="2">
        <v>179</v>
      </c>
      <c r="E471" s="2">
        <v>59</v>
      </c>
      <c r="F471" s="2" t="str" cm="1">
        <f t="array" ref="F471">_xlfn.IFS(Table24[[#This Row],[QuantityInStock]]&lt;=Table24[[#This Row],[ReorderPoint]],"Low Stock",Table24[[#This Row],[QuantityInStock]]&gt;Table24[[#This Row],[ReorderPoint]],"Adequate Stock",Table24[[#This Row],[QuantityInStock]]=0,"Out Of Stock")</f>
        <v>Adequate Stock</v>
      </c>
      <c r="G471" s="2" t="s">
        <v>517</v>
      </c>
      <c r="H471" s="2" t="s">
        <v>521</v>
      </c>
      <c r="I471" s="2">
        <v>8</v>
      </c>
      <c r="J471" s="2" t="s">
        <v>524</v>
      </c>
      <c r="K471" s="2">
        <v>63.73</v>
      </c>
      <c r="L471" s="2">
        <f>Table24[[#This Row],[QuantityInStock]]*Table24[[#This Row],[UnitCost]]</f>
        <v>11407.67</v>
      </c>
    </row>
    <row r="472" spans="1:12" x14ac:dyDescent="0.3">
      <c r="A472" s="2" t="s">
        <v>479</v>
      </c>
      <c r="B472" s="2" t="s">
        <v>513</v>
      </c>
      <c r="C472" s="2" t="str">
        <f>_xlfn.XLOOKUP(Table24[[#This Row],[ProductName]],Table4[Product name],Table4[Category],"Not Found",0)</f>
        <v>Electronics</v>
      </c>
      <c r="D472" s="2">
        <v>42</v>
      </c>
      <c r="E472" s="2">
        <v>26</v>
      </c>
      <c r="F472" s="2" t="str" cm="1">
        <f t="array" ref="F472">_xlfn.IFS(Table24[[#This Row],[QuantityInStock]]&lt;=Table24[[#This Row],[ReorderPoint]],"Low Stock",Table24[[#This Row],[QuantityInStock]]&gt;Table24[[#This Row],[ReorderPoint]],"Adequate Stock",Table24[[#This Row],[QuantityInStock]]=0,"Out Of Stock")</f>
        <v>Adequate Stock</v>
      </c>
      <c r="G472" s="2" t="s">
        <v>518</v>
      </c>
      <c r="H472" s="2" t="s">
        <v>522</v>
      </c>
      <c r="I472" s="2">
        <v>3</v>
      </c>
      <c r="J472" s="2" t="s">
        <v>526</v>
      </c>
      <c r="K472" s="2">
        <v>155.19999999999999</v>
      </c>
      <c r="L472" s="2">
        <f>Table24[[#This Row],[QuantityInStock]]*Table24[[#This Row],[UnitCost]]</f>
        <v>6518.4</v>
      </c>
    </row>
    <row r="473" spans="1:12" x14ac:dyDescent="0.3">
      <c r="A473" s="2" t="s">
        <v>480</v>
      </c>
      <c r="B473" s="2" t="s">
        <v>510</v>
      </c>
      <c r="C473" s="2" t="str">
        <f>_xlfn.XLOOKUP(Table24[[#This Row],[ProductName]],Table4[Product name],Table4[Category],"Not Found",0)</f>
        <v>Electronics</v>
      </c>
      <c r="D473" s="2">
        <v>288</v>
      </c>
      <c r="E473" s="2">
        <v>38</v>
      </c>
      <c r="F473" s="2" t="str" cm="1">
        <f t="array" ref="F473">_xlfn.IFS(Table24[[#This Row],[QuantityInStock]]&lt;=Table24[[#This Row],[ReorderPoint]],"Low Stock",Table24[[#This Row],[QuantityInStock]]&gt;Table24[[#This Row],[ReorderPoint]],"Adequate Stock",Table24[[#This Row],[QuantityInStock]]=0,"Out Of Stock")</f>
        <v>Adequate Stock</v>
      </c>
      <c r="G473" s="2" t="s">
        <v>518</v>
      </c>
      <c r="H473" s="2" t="s">
        <v>522</v>
      </c>
      <c r="I473" s="2">
        <v>16</v>
      </c>
      <c r="J473" s="2" t="s">
        <v>524</v>
      </c>
      <c r="K473" s="2">
        <v>95.74</v>
      </c>
      <c r="L473" s="2">
        <f>Table24[[#This Row],[QuantityInStock]]*Table24[[#This Row],[UnitCost]]</f>
        <v>27573.119999999999</v>
      </c>
    </row>
    <row r="474" spans="1:12" x14ac:dyDescent="0.3">
      <c r="A474" s="2" t="s">
        <v>481</v>
      </c>
      <c r="B474" s="2" t="s">
        <v>515</v>
      </c>
      <c r="C474" s="2" t="str">
        <f>_xlfn.XLOOKUP(Table24[[#This Row],[ProductName]],Table4[Product name],Table4[Category],"Not Found",0)</f>
        <v>Electronics</v>
      </c>
      <c r="D474" s="2">
        <v>178</v>
      </c>
      <c r="E474" s="2">
        <v>67</v>
      </c>
      <c r="F474" s="2" t="str" cm="1">
        <f t="array" ref="F474">_xlfn.IFS(Table24[[#This Row],[QuantityInStock]]&lt;=Table24[[#This Row],[ReorderPoint]],"Low Stock",Table24[[#This Row],[QuantityInStock]]&gt;Table24[[#This Row],[ReorderPoint]],"Adequate Stock",Table24[[#This Row],[QuantityInStock]]=0,"Out Of Stock")</f>
        <v>Adequate Stock</v>
      </c>
      <c r="G474" s="2" t="s">
        <v>519</v>
      </c>
      <c r="H474" s="2" t="s">
        <v>523</v>
      </c>
      <c r="I474" s="2">
        <v>11</v>
      </c>
      <c r="J474" s="2" t="s">
        <v>525</v>
      </c>
      <c r="K474" s="2">
        <v>20.309999999999999</v>
      </c>
      <c r="L474" s="2">
        <f>Table24[[#This Row],[QuantityInStock]]*Table24[[#This Row],[UnitCost]]</f>
        <v>3615.18</v>
      </c>
    </row>
    <row r="475" spans="1:12" x14ac:dyDescent="0.3">
      <c r="A475" s="2" t="s">
        <v>482</v>
      </c>
      <c r="B475" s="2" t="s">
        <v>509</v>
      </c>
      <c r="C475" s="2" t="str">
        <f>_xlfn.XLOOKUP(Table24[[#This Row],[ProductName]],Table4[Product name],Table4[Category],"Not Found",0)</f>
        <v>Electronics</v>
      </c>
      <c r="D475" s="2">
        <v>267</v>
      </c>
      <c r="E475" s="2">
        <v>24</v>
      </c>
      <c r="F475" s="2" t="str" cm="1">
        <f t="array" ref="F475">_xlfn.IFS(Table24[[#This Row],[QuantityInStock]]&lt;=Table24[[#This Row],[ReorderPoint]],"Low Stock",Table24[[#This Row],[QuantityInStock]]&gt;Table24[[#This Row],[ReorderPoint]],"Adequate Stock",Table24[[#This Row],[QuantityInStock]]=0,"Out Of Stock")</f>
        <v>Adequate Stock</v>
      </c>
      <c r="G475" s="2" t="s">
        <v>517</v>
      </c>
      <c r="H475" s="2" t="s">
        <v>521</v>
      </c>
      <c r="I475" s="2">
        <v>11</v>
      </c>
      <c r="J475" s="2" t="s">
        <v>527</v>
      </c>
      <c r="K475" s="2">
        <v>138.83000000000001</v>
      </c>
      <c r="L475" s="2">
        <f>Table24[[#This Row],[QuantityInStock]]*Table24[[#This Row],[UnitCost]]</f>
        <v>37067.61</v>
      </c>
    </row>
    <row r="476" spans="1:12" x14ac:dyDescent="0.3">
      <c r="A476" s="2" t="s">
        <v>483</v>
      </c>
      <c r="B476" s="2" t="s">
        <v>512</v>
      </c>
      <c r="C476" s="2" t="str">
        <f>_xlfn.XLOOKUP(Table24[[#This Row],[ProductName]],Table4[Product name],Table4[Category],"Not Found",0)</f>
        <v>Furniture</v>
      </c>
      <c r="D476" s="2">
        <v>392</v>
      </c>
      <c r="E476" s="2">
        <v>91</v>
      </c>
      <c r="F476" s="2" t="str" cm="1">
        <f t="array" ref="F476">_xlfn.IFS(Table24[[#This Row],[QuantityInStock]]&lt;=Table24[[#This Row],[ReorderPoint]],"Low Stock",Table24[[#This Row],[QuantityInStock]]&gt;Table24[[#This Row],[ReorderPoint]],"Adequate Stock",Table24[[#This Row],[QuantityInStock]]=0,"Out Of Stock")</f>
        <v>Adequate Stock</v>
      </c>
      <c r="G476" s="2" t="s">
        <v>519</v>
      </c>
      <c r="H476" s="2" t="s">
        <v>523</v>
      </c>
      <c r="I476" s="2">
        <v>21</v>
      </c>
      <c r="J476" s="2" t="s">
        <v>526</v>
      </c>
      <c r="K476" s="2">
        <v>100.38</v>
      </c>
      <c r="L476" s="2">
        <f>Table24[[#This Row],[QuantityInStock]]*Table24[[#This Row],[UnitCost]]</f>
        <v>39348.959999999999</v>
      </c>
    </row>
    <row r="477" spans="1:12" x14ac:dyDescent="0.3">
      <c r="A477" s="2" t="s">
        <v>484</v>
      </c>
      <c r="B477" s="2" t="s">
        <v>511</v>
      </c>
      <c r="C477" s="2" t="str">
        <f>_xlfn.XLOOKUP(Table24[[#This Row],[ProductName]],Table4[Product name],Table4[Category],"Not Found",0)</f>
        <v>Electronics</v>
      </c>
      <c r="D477" s="2">
        <v>194</v>
      </c>
      <c r="E477" s="2">
        <v>81</v>
      </c>
      <c r="F477" s="2" t="str" cm="1">
        <f t="array" ref="F477">_xlfn.IFS(Table24[[#This Row],[QuantityInStock]]&lt;=Table24[[#This Row],[ReorderPoint]],"Low Stock",Table24[[#This Row],[QuantityInStock]]&gt;Table24[[#This Row],[ReorderPoint]],"Adequate Stock",Table24[[#This Row],[QuantityInStock]]=0,"Out Of Stock")</f>
        <v>Adequate Stock</v>
      </c>
      <c r="G477" s="2" t="s">
        <v>519</v>
      </c>
      <c r="H477" s="2" t="s">
        <v>523</v>
      </c>
      <c r="I477" s="2">
        <v>19</v>
      </c>
      <c r="J477" s="2" t="s">
        <v>525</v>
      </c>
      <c r="K477" s="2">
        <v>74.510000000000005</v>
      </c>
      <c r="L477" s="2">
        <f>Table24[[#This Row],[QuantityInStock]]*Table24[[#This Row],[UnitCost]]</f>
        <v>14454.94</v>
      </c>
    </row>
    <row r="478" spans="1:12" x14ac:dyDescent="0.3">
      <c r="A478" s="2" t="s">
        <v>485</v>
      </c>
      <c r="B478" s="2" t="s">
        <v>512</v>
      </c>
      <c r="C478" s="2" t="str">
        <f>_xlfn.XLOOKUP(Table24[[#This Row],[ProductName]],Table4[Product name],Table4[Category],"Not Found",0)</f>
        <v>Furniture</v>
      </c>
      <c r="D478" s="2">
        <v>150</v>
      </c>
      <c r="E478" s="2">
        <v>82</v>
      </c>
      <c r="F478" s="2" t="str" cm="1">
        <f t="array" ref="F478">_xlfn.IFS(Table24[[#This Row],[QuantityInStock]]&lt;=Table24[[#This Row],[ReorderPoint]],"Low Stock",Table24[[#This Row],[QuantityInStock]]&gt;Table24[[#This Row],[ReorderPoint]],"Adequate Stock",Table24[[#This Row],[QuantityInStock]]=0,"Out Of Stock")</f>
        <v>Adequate Stock</v>
      </c>
      <c r="G478" s="2" t="s">
        <v>519</v>
      </c>
      <c r="H478" s="2" t="s">
        <v>523</v>
      </c>
      <c r="I478" s="2">
        <v>12</v>
      </c>
      <c r="J478" s="2" t="s">
        <v>526</v>
      </c>
      <c r="K478" s="2">
        <v>54.41</v>
      </c>
      <c r="L478" s="2">
        <f>Table24[[#This Row],[QuantityInStock]]*Table24[[#This Row],[UnitCost]]</f>
        <v>8161.4999999999991</v>
      </c>
    </row>
    <row r="479" spans="1:12" x14ac:dyDescent="0.3">
      <c r="A479" s="2" t="s">
        <v>486</v>
      </c>
      <c r="B479" s="2" t="s">
        <v>510</v>
      </c>
      <c r="C479" s="2" t="str">
        <f>_xlfn.XLOOKUP(Table24[[#This Row],[ProductName]],Table4[Product name],Table4[Category],"Not Found",0)</f>
        <v>Electronics</v>
      </c>
      <c r="D479" s="2">
        <v>230</v>
      </c>
      <c r="E479" s="2">
        <v>76</v>
      </c>
      <c r="F479" s="2" t="str" cm="1">
        <f t="array" ref="F479">_xlfn.IFS(Table24[[#This Row],[QuantityInStock]]&lt;=Table24[[#This Row],[ReorderPoint]],"Low Stock",Table24[[#This Row],[QuantityInStock]]&gt;Table24[[#This Row],[ReorderPoint]],"Adequate Stock",Table24[[#This Row],[QuantityInStock]]=0,"Out Of Stock")</f>
        <v>Adequate Stock</v>
      </c>
      <c r="G479" s="2" t="s">
        <v>519</v>
      </c>
      <c r="H479" s="2" t="s">
        <v>523</v>
      </c>
      <c r="I479" s="2">
        <v>18</v>
      </c>
      <c r="J479" s="2" t="s">
        <v>524</v>
      </c>
      <c r="K479" s="2">
        <v>164.84</v>
      </c>
      <c r="L479" s="2">
        <f>Table24[[#This Row],[QuantityInStock]]*Table24[[#This Row],[UnitCost]]</f>
        <v>37913.200000000004</v>
      </c>
    </row>
    <row r="480" spans="1:12" x14ac:dyDescent="0.3">
      <c r="A480" s="2" t="s">
        <v>487</v>
      </c>
      <c r="B480" s="2" t="s">
        <v>512</v>
      </c>
      <c r="C480" s="2" t="str">
        <f>_xlfn.XLOOKUP(Table24[[#This Row],[ProductName]],Table4[Product name],Table4[Category],"Not Found",0)</f>
        <v>Furniture</v>
      </c>
      <c r="D480" s="2">
        <v>345</v>
      </c>
      <c r="E480" s="2">
        <v>60</v>
      </c>
      <c r="F480" s="2" t="str" cm="1">
        <f t="array" ref="F480">_xlfn.IFS(Table24[[#This Row],[QuantityInStock]]&lt;=Table24[[#This Row],[ReorderPoint]],"Low Stock",Table24[[#This Row],[QuantityInStock]]&gt;Table24[[#This Row],[ReorderPoint]],"Adequate Stock",Table24[[#This Row],[QuantityInStock]]=0,"Out Of Stock")</f>
        <v>Adequate Stock</v>
      </c>
      <c r="G480" s="2" t="s">
        <v>516</v>
      </c>
      <c r="H480" s="2" t="s">
        <v>520</v>
      </c>
      <c r="I480" s="2">
        <v>12</v>
      </c>
      <c r="J480" s="2" t="s">
        <v>527</v>
      </c>
      <c r="K480" s="2">
        <v>73.89</v>
      </c>
      <c r="L480" s="2">
        <f>Table24[[#This Row],[QuantityInStock]]*Table24[[#This Row],[UnitCost]]</f>
        <v>25492.05</v>
      </c>
    </row>
    <row r="481" spans="1:12" x14ac:dyDescent="0.3">
      <c r="A481" s="2" t="s">
        <v>488</v>
      </c>
      <c r="B481" s="2" t="s">
        <v>510</v>
      </c>
      <c r="C481" s="2" t="str">
        <f>_xlfn.XLOOKUP(Table24[[#This Row],[ProductName]],Table4[Product name],Table4[Category],"Not Found",0)</f>
        <v>Electronics</v>
      </c>
      <c r="D481" s="2">
        <v>115</v>
      </c>
      <c r="E481" s="2">
        <v>90</v>
      </c>
      <c r="F481" s="2" t="str" cm="1">
        <f t="array" ref="F481">_xlfn.IFS(Table24[[#This Row],[QuantityInStock]]&lt;=Table24[[#This Row],[ReorderPoint]],"Low Stock",Table24[[#This Row],[QuantityInStock]]&gt;Table24[[#This Row],[ReorderPoint]],"Adequate Stock",Table24[[#This Row],[QuantityInStock]]=0,"Out Of Stock")</f>
        <v>Adequate Stock</v>
      </c>
      <c r="G481" s="2" t="s">
        <v>518</v>
      </c>
      <c r="H481" s="2" t="s">
        <v>522</v>
      </c>
      <c r="I481" s="2">
        <v>16</v>
      </c>
      <c r="J481" s="2" t="s">
        <v>527</v>
      </c>
      <c r="K481" s="2">
        <v>148.41</v>
      </c>
      <c r="L481" s="2">
        <f>Table24[[#This Row],[QuantityInStock]]*Table24[[#This Row],[UnitCost]]</f>
        <v>17067.149999999998</v>
      </c>
    </row>
    <row r="482" spans="1:12" x14ac:dyDescent="0.3">
      <c r="A482" s="2" t="s">
        <v>489</v>
      </c>
      <c r="B482" s="2" t="s">
        <v>511</v>
      </c>
      <c r="C482" s="2" t="str">
        <f>_xlfn.XLOOKUP(Table24[[#This Row],[ProductName]],Table4[Product name],Table4[Category],"Not Found",0)</f>
        <v>Electronics</v>
      </c>
      <c r="D482" s="2">
        <v>423</v>
      </c>
      <c r="E482" s="2">
        <v>68</v>
      </c>
      <c r="F482" s="2" t="str" cm="1">
        <f t="array" ref="F482">_xlfn.IFS(Table24[[#This Row],[QuantityInStock]]&lt;=Table24[[#This Row],[ReorderPoint]],"Low Stock",Table24[[#This Row],[QuantityInStock]]&gt;Table24[[#This Row],[ReorderPoint]],"Adequate Stock",Table24[[#This Row],[QuantityInStock]]=0,"Out Of Stock")</f>
        <v>Adequate Stock</v>
      </c>
      <c r="G482" s="2" t="s">
        <v>518</v>
      </c>
      <c r="H482" s="2" t="s">
        <v>522</v>
      </c>
      <c r="I482" s="2">
        <v>20</v>
      </c>
      <c r="J482" s="2" t="s">
        <v>525</v>
      </c>
      <c r="K482" s="2">
        <v>111.14</v>
      </c>
      <c r="L482" s="2">
        <f>Table24[[#This Row],[QuantityInStock]]*Table24[[#This Row],[UnitCost]]</f>
        <v>47012.22</v>
      </c>
    </row>
    <row r="483" spans="1:12" x14ac:dyDescent="0.3">
      <c r="A483" s="2" t="s">
        <v>490</v>
      </c>
      <c r="B483" s="2" t="s">
        <v>514</v>
      </c>
      <c r="C483" s="2" t="str">
        <f>_xlfn.XLOOKUP(Table24[[#This Row],[ProductName]],Table4[Product name],Table4[Category],"Not Found",0)</f>
        <v>Furniture</v>
      </c>
      <c r="D483" s="2">
        <v>396</v>
      </c>
      <c r="E483" s="2">
        <v>87</v>
      </c>
      <c r="F483" s="2" t="str" cm="1">
        <f t="array" ref="F483">_xlfn.IFS(Table24[[#This Row],[QuantityInStock]]&lt;=Table24[[#This Row],[ReorderPoint]],"Low Stock",Table24[[#This Row],[QuantityInStock]]&gt;Table24[[#This Row],[ReorderPoint]],"Adequate Stock",Table24[[#This Row],[QuantityInStock]]=0,"Out Of Stock")</f>
        <v>Adequate Stock</v>
      </c>
      <c r="G483" s="2" t="s">
        <v>517</v>
      </c>
      <c r="H483" s="2" t="s">
        <v>521</v>
      </c>
      <c r="I483" s="2">
        <v>6</v>
      </c>
      <c r="J483" s="2" t="s">
        <v>524</v>
      </c>
      <c r="K483" s="2">
        <v>125.49</v>
      </c>
      <c r="L483" s="2">
        <f>Table24[[#This Row],[QuantityInStock]]*Table24[[#This Row],[UnitCost]]</f>
        <v>49694.04</v>
      </c>
    </row>
    <row r="484" spans="1:12" x14ac:dyDescent="0.3">
      <c r="A484" s="2" t="s">
        <v>491</v>
      </c>
      <c r="B484" s="2" t="s">
        <v>513</v>
      </c>
      <c r="C484" s="2" t="str">
        <f>_xlfn.XLOOKUP(Table24[[#This Row],[ProductName]],Table4[Product name],Table4[Category],"Not Found",0)</f>
        <v>Electronics</v>
      </c>
      <c r="D484" s="2">
        <v>166</v>
      </c>
      <c r="E484" s="2">
        <v>68</v>
      </c>
      <c r="F484" s="2" t="str" cm="1">
        <f t="array" ref="F484">_xlfn.IFS(Table24[[#This Row],[QuantityInStock]]&lt;=Table24[[#This Row],[ReorderPoint]],"Low Stock",Table24[[#This Row],[QuantityInStock]]&gt;Table24[[#This Row],[ReorderPoint]],"Adequate Stock",Table24[[#This Row],[QuantityInStock]]=0,"Out Of Stock")</f>
        <v>Adequate Stock</v>
      </c>
      <c r="G484" s="2" t="s">
        <v>516</v>
      </c>
      <c r="H484" s="2" t="s">
        <v>520</v>
      </c>
      <c r="I484" s="2">
        <v>18</v>
      </c>
      <c r="J484" s="2" t="s">
        <v>524</v>
      </c>
      <c r="K484" s="2">
        <v>54.96</v>
      </c>
      <c r="L484" s="2">
        <f>Table24[[#This Row],[QuantityInStock]]*Table24[[#This Row],[UnitCost]]</f>
        <v>9123.36</v>
      </c>
    </row>
    <row r="485" spans="1:12" x14ac:dyDescent="0.3">
      <c r="A485" s="2" t="s">
        <v>492</v>
      </c>
      <c r="B485" s="2" t="s">
        <v>515</v>
      </c>
      <c r="C485" s="2" t="str">
        <f>_xlfn.XLOOKUP(Table24[[#This Row],[ProductName]],Table4[Product name],Table4[Category],"Not Found",0)</f>
        <v>Electronics</v>
      </c>
      <c r="D485" s="2">
        <v>46</v>
      </c>
      <c r="E485" s="2">
        <v>71</v>
      </c>
      <c r="F485" s="2" t="str" cm="1">
        <f t="array" ref="F485">_xlfn.IFS(Table24[[#This Row],[QuantityInStock]]&lt;=Table24[[#This Row],[ReorderPoint]],"Low Stock",Table24[[#This Row],[QuantityInStock]]&gt;Table24[[#This Row],[ReorderPoint]],"Adequate Stock",Table24[[#This Row],[QuantityInStock]]=0,"Out Of Stock")</f>
        <v>Low Stock</v>
      </c>
      <c r="G485" s="2" t="s">
        <v>517</v>
      </c>
      <c r="H485" s="2" t="s">
        <v>521</v>
      </c>
      <c r="I485" s="2">
        <v>17</v>
      </c>
      <c r="J485" s="2" t="s">
        <v>528</v>
      </c>
      <c r="K485" s="2">
        <v>100.69</v>
      </c>
      <c r="L485" s="2">
        <f>Table24[[#This Row],[QuantityInStock]]*Table24[[#This Row],[UnitCost]]</f>
        <v>4631.74</v>
      </c>
    </row>
    <row r="486" spans="1:12" x14ac:dyDescent="0.3">
      <c r="A486" s="2" t="s">
        <v>493</v>
      </c>
      <c r="B486" s="2" t="s">
        <v>515</v>
      </c>
      <c r="C486" s="2" t="str">
        <f>_xlfn.XLOOKUP(Table24[[#This Row],[ProductName]],Table4[Product name],Table4[Category],"Not Found",0)</f>
        <v>Electronics</v>
      </c>
      <c r="D486" s="2">
        <v>414</v>
      </c>
      <c r="E486" s="2">
        <v>54</v>
      </c>
      <c r="F486" s="2" t="str" cm="1">
        <f t="array" ref="F486">_xlfn.IFS(Table24[[#This Row],[QuantityInStock]]&lt;=Table24[[#This Row],[ReorderPoint]],"Low Stock",Table24[[#This Row],[QuantityInStock]]&gt;Table24[[#This Row],[ReorderPoint]],"Adequate Stock",Table24[[#This Row],[QuantityInStock]]=0,"Out Of Stock")</f>
        <v>Adequate Stock</v>
      </c>
      <c r="G486" s="2" t="s">
        <v>518</v>
      </c>
      <c r="H486" s="2" t="s">
        <v>522</v>
      </c>
      <c r="I486" s="2">
        <v>8</v>
      </c>
      <c r="J486" s="2" t="s">
        <v>527</v>
      </c>
      <c r="K486" s="2">
        <v>129.54</v>
      </c>
      <c r="L486" s="2">
        <f>Table24[[#This Row],[QuantityInStock]]*Table24[[#This Row],[UnitCost]]</f>
        <v>53629.56</v>
      </c>
    </row>
    <row r="487" spans="1:12" x14ac:dyDescent="0.3">
      <c r="A487" s="2" t="s">
        <v>494</v>
      </c>
      <c r="B487" s="2" t="s">
        <v>510</v>
      </c>
      <c r="C487" s="2" t="str">
        <f>_xlfn.XLOOKUP(Table24[[#This Row],[ProductName]],Table4[Product name],Table4[Category],"Not Found",0)</f>
        <v>Electronics</v>
      </c>
      <c r="D487" s="2">
        <v>270</v>
      </c>
      <c r="E487" s="2">
        <v>88</v>
      </c>
      <c r="F487" s="2" t="str" cm="1">
        <f t="array" ref="F487">_xlfn.IFS(Table24[[#This Row],[QuantityInStock]]&lt;=Table24[[#This Row],[ReorderPoint]],"Low Stock",Table24[[#This Row],[QuantityInStock]]&gt;Table24[[#This Row],[ReorderPoint]],"Adequate Stock",Table24[[#This Row],[QuantityInStock]]=0,"Out Of Stock")</f>
        <v>Adequate Stock</v>
      </c>
      <c r="G487" s="2" t="s">
        <v>518</v>
      </c>
      <c r="H487" s="2" t="s">
        <v>522</v>
      </c>
      <c r="I487" s="2">
        <v>10</v>
      </c>
      <c r="J487" s="2" t="s">
        <v>527</v>
      </c>
      <c r="K487" s="2">
        <v>164.9</v>
      </c>
      <c r="L487" s="2">
        <f>Table24[[#This Row],[QuantityInStock]]*Table24[[#This Row],[UnitCost]]</f>
        <v>44523</v>
      </c>
    </row>
    <row r="488" spans="1:12" x14ac:dyDescent="0.3">
      <c r="A488" s="2" t="s">
        <v>495</v>
      </c>
      <c r="B488" s="2" t="s">
        <v>513</v>
      </c>
      <c r="C488" s="2" t="str">
        <f>_xlfn.XLOOKUP(Table24[[#This Row],[ProductName]],Table4[Product name],Table4[Category],"Not Found",0)</f>
        <v>Electronics</v>
      </c>
      <c r="D488" s="2">
        <v>273</v>
      </c>
      <c r="E488" s="2">
        <v>94</v>
      </c>
      <c r="F488" s="2" t="str" cm="1">
        <f t="array" ref="F488">_xlfn.IFS(Table24[[#This Row],[QuantityInStock]]&lt;=Table24[[#This Row],[ReorderPoint]],"Low Stock",Table24[[#This Row],[QuantityInStock]]&gt;Table24[[#This Row],[ReorderPoint]],"Adequate Stock",Table24[[#This Row],[QuantityInStock]]=0,"Out Of Stock")</f>
        <v>Adequate Stock</v>
      </c>
      <c r="G488" s="2" t="s">
        <v>519</v>
      </c>
      <c r="H488" s="2" t="s">
        <v>523</v>
      </c>
      <c r="I488" s="2">
        <v>14</v>
      </c>
      <c r="J488" s="2" t="s">
        <v>524</v>
      </c>
      <c r="K488" s="2">
        <v>37.29</v>
      </c>
      <c r="L488" s="2">
        <f>Table24[[#This Row],[QuantityInStock]]*Table24[[#This Row],[UnitCost]]</f>
        <v>10180.17</v>
      </c>
    </row>
    <row r="489" spans="1:12" x14ac:dyDescent="0.3">
      <c r="A489" s="2" t="s">
        <v>496</v>
      </c>
      <c r="B489" s="2" t="s">
        <v>510</v>
      </c>
      <c r="C489" s="2" t="str">
        <f>_xlfn.XLOOKUP(Table24[[#This Row],[ProductName]],Table4[Product name],Table4[Category],"Not Found",0)</f>
        <v>Electronics</v>
      </c>
      <c r="D489" s="2">
        <v>378</v>
      </c>
      <c r="E489" s="2">
        <v>80</v>
      </c>
      <c r="F489" s="2" t="str" cm="1">
        <f t="array" ref="F489">_xlfn.IFS(Table24[[#This Row],[QuantityInStock]]&lt;=Table24[[#This Row],[ReorderPoint]],"Low Stock",Table24[[#This Row],[QuantityInStock]]&gt;Table24[[#This Row],[ReorderPoint]],"Adequate Stock",Table24[[#This Row],[QuantityInStock]]=0,"Out Of Stock")</f>
        <v>Adequate Stock</v>
      </c>
      <c r="G489" s="2" t="s">
        <v>516</v>
      </c>
      <c r="H489" s="2" t="s">
        <v>520</v>
      </c>
      <c r="I489" s="2">
        <v>8</v>
      </c>
      <c r="J489" s="2" t="s">
        <v>528</v>
      </c>
      <c r="K489" s="2">
        <v>46.06</v>
      </c>
      <c r="L489" s="2">
        <f>Table24[[#This Row],[QuantityInStock]]*Table24[[#This Row],[UnitCost]]</f>
        <v>17410.68</v>
      </c>
    </row>
    <row r="490" spans="1:12" x14ac:dyDescent="0.3">
      <c r="A490" s="2" t="s">
        <v>497</v>
      </c>
      <c r="B490" s="2" t="s">
        <v>514</v>
      </c>
      <c r="C490" s="2" t="str">
        <f>_xlfn.XLOOKUP(Table24[[#This Row],[ProductName]],Table4[Product name],Table4[Category],"Not Found",0)</f>
        <v>Furniture</v>
      </c>
      <c r="D490" s="2">
        <v>51</v>
      </c>
      <c r="E490" s="2">
        <v>73</v>
      </c>
      <c r="F490" s="2" t="str" cm="1">
        <f t="array" ref="F490">_xlfn.IFS(Table24[[#This Row],[QuantityInStock]]&lt;=Table24[[#This Row],[ReorderPoint]],"Low Stock",Table24[[#This Row],[QuantityInStock]]&gt;Table24[[#This Row],[ReorderPoint]],"Adequate Stock",Table24[[#This Row],[QuantityInStock]]=0,"Out Of Stock")</f>
        <v>Low Stock</v>
      </c>
      <c r="G490" s="2" t="s">
        <v>518</v>
      </c>
      <c r="H490" s="2" t="s">
        <v>522</v>
      </c>
      <c r="I490" s="2">
        <v>9</v>
      </c>
      <c r="J490" s="2" t="s">
        <v>526</v>
      </c>
      <c r="K490" s="2">
        <v>117.44</v>
      </c>
      <c r="L490" s="2">
        <f>Table24[[#This Row],[QuantityInStock]]*Table24[[#This Row],[UnitCost]]</f>
        <v>5989.44</v>
      </c>
    </row>
    <row r="491" spans="1:12" x14ac:dyDescent="0.3">
      <c r="A491" s="2" t="s">
        <v>498</v>
      </c>
      <c r="B491" s="2" t="s">
        <v>511</v>
      </c>
      <c r="C491" s="2" t="str">
        <f>_xlfn.XLOOKUP(Table24[[#This Row],[ProductName]],Table4[Product name],Table4[Category],"Not Found",0)</f>
        <v>Electronics</v>
      </c>
      <c r="D491" s="2">
        <v>386</v>
      </c>
      <c r="E491" s="2">
        <v>62</v>
      </c>
      <c r="F491" s="2" t="str" cm="1">
        <f t="array" ref="F491">_xlfn.IFS(Table24[[#This Row],[QuantityInStock]]&lt;=Table24[[#This Row],[ReorderPoint]],"Low Stock",Table24[[#This Row],[QuantityInStock]]&gt;Table24[[#This Row],[ReorderPoint]],"Adequate Stock",Table24[[#This Row],[QuantityInStock]]=0,"Out Of Stock")</f>
        <v>Adequate Stock</v>
      </c>
      <c r="G491" s="2" t="s">
        <v>518</v>
      </c>
      <c r="H491" s="2" t="s">
        <v>522</v>
      </c>
      <c r="I491" s="2">
        <v>21</v>
      </c>
      <c r="J491" s="2" t="s">
        <v>524</v>
      </c>
      <c r="K491" s="2">
        <v>158.38</v>
      </c>
      <c r="L491" s="2">
        <f>Table24[[#This Row],[QuantityInStock]]*Table24[[#This Row],[UnitCost]]</f>
        <v>61134.68</v>
      </c>
    </row>
    <row r="492" spans="1:12" x14ac:dyDescent="0.3">
      <c r="A492" s="2" t="s">
        <v>499</v>
      </c>
      <c r="B492" s="2" t="s">
        <v>509</v>
      </c>
      <c r="C492" s="2" t="str">
        <f>_xlfn.XLOOKUP(Table24[[#This Row],[ProductName]],Table4[Product name],Table4[Category],"Not Found",0)</f>
        <v>Electronics</v>
      </c>
      <c r="D492" s="2">
        <v>131</v>
      </c>
      <c r="E492" s="2">
        <v>82</v>
      </c>
      <c r="F492" s="2" t="str" cm="1">
        <f t="array" ref="F492">_xlfn.IFS(Table24[[#This Row],[QuantityInStock]]&lt;=Table24[[#This Row],[ReorderPoint]],"Low Stock",Table24[[#This Row],[QuantityInStock]]&gt;Table24[[#This Row],[ReorderPoint]],"Adequate Stock",Table24[[#This Row],[QuantityInStock]]=0,"Out Of Stock")</f>
        <v>Adequate Stock</v>
      </c>
      <c r="G492" s="2" t="s">
        <v>516</v>
      </c>
      <c r="H492" s="2" t="s">
        <v>520</v>
      </c>
      <c r="I492" s="2">
        <v>16</v>
      </c>
      <c r="J492" s="2" t="s">
        <v>527</v>
      </c>
      <c r="K492" s="2">
        <v>179.08</v>
      </c>
      <c r="L492" s="2">
        <f>Table24[[#This Row],[QuantityInStock]]*Table24[[#This Row],[UnitCost]]</f>
        <v>23459.480000000003</v>
      </c>
    </row>
    <row r="493" spans="1:12" x14ac:dyDescent="0.3">
      <c r="A493" s="2" t="s">
        <v>500</v>
      </c>
      <c r="B493" s="2" t="s">
        <v>509</v>
      </c>
      <c r="C493" s="2" t="str">
        <f>_xlfn.XLOOKUP(Table24[[#This Row],[ProductName]],Table4[Product name],Table4[Category],"Not Found",0)</f>
        <v>Electronics</v>
      </c>
      <c r="D493" s="2">
        <v>218</v>
      </c>
      <c r="E493" s="2">
        <v>34</v>
      </c>
      <c r="F493" s="2" t="str" cm="1">
        <f t="array" ref="F493">_xlfn.IFS(Table24[[#This Row],[QuantityInStock]]&lt;=Table24[[#This Row],[ReorderPoint]],"Low Stock",Table24[[#This Row],[QuantityInStock]]&gt;Table24[[#This Row],[ReorderPoint]],"Adequate Stock",Table24[[#This Row],[QuantityInStock]]=0,"Out Of Stock")</f>
        <v>Adequate Stock</v>
      </c>
      <c r="G493" s="2" t="s">
        <v>517</v>
      </c>
      <c r="H493" s="2" t="s">
        <v>521</v>
      </c>
      <c r="I493" s="2">
        <v>9</v>
      </c>
      <c r="J493" s="2" t="s">
        <v>525</v>
      </c>
      <c r="K493" s="2">
        <v>150.88999999999999</v>
      </c>
      <c r="L493" s="2">
        <f>Table24[[#This Row],[QuantityInStock]]*Table24[[#This Row],[UnitCost]]</f>
        <v>32894.019999999997</v>
      </c>
    </row>
    <row r="494" spans="1:12" x14ac:dyDescent="0.3">
      <c r="A494" s="2" t="s">
        <v>501</v>
      </c>
      <c r="B494" s="2" t="s">
        <v>509</v>
      </c>
      <c r="C494" s="2" t="str">
        <f>_xlfn.XLOOKUP(Table24[[#This Row],[ProductName]],Table4[Product name],Table4[Category],"Not Found",0)</f>
        <v>Electronics</v>
      </c>
      <c r="D494" s="2">
        <v>111</v>
      </c>
      <c r="E494" s="2">
        <v>60</v>
      </c>
      <c r="F494" s="2" t="str" cm="1">
        <f t="array" ref="F494">_xlfn.IFS(Table24[[#This Row],[QuantityInStock]]&lt;=Table24[[#This Row],[ReorderPoint]],"Low Stock",Table24[[#This Row],[QuantityInStock]]&gt;Table24[[#This Row],[ReorderPoint]],"Adequate Stock",Table24[[#This Row],[QuantityInStock]]=0,"Out Of Stock")</f>
        <v>Adequate Stock</v>
      </c>
      <c r="G494" s="2" t="s">
        <v>518</v>
      </c>
      <c r="H494" s="2" t="s">
        <v>522</v>
      </c>
      <c r="I494" s="2">
        <v>12</v>
      </c>
      <c r="J494" s="2" t="s">
        <v>528</v>
      </c>
      <c r="K494" s="2">
        <v>124.11</v>
      </c>
      <c r="L494" s="2">
        <f>Table24[[#This Row],[QuantityInStock]]*Table24[[#This Row],[UnitCost]]</f>
        <v>13776.21</v>
      </c>
    </row>
    <row r="495" spans="1:12" x14ac:dyDescent="0.3">
      <c r="A495" s="2" t="s">
        <v>502</v>
      </c>
      <c r="B495" s="2" t="s">
        <v>513</v>
      </c>
      <c r="C495" s="2" t="str">
        <f>_xlfn.XLOOKUP(Table24[[#This Row],[ProductName]],Table4[Product name],Table4[Category],"Not Found",0)</f>
        <v>Electronics</v>
      </c>
      <c r="D495" s="2">
        <v>411</v>
      </c>
      <c r="E495" s="2">
        <v>96</v>
      </c>
      <c r="F495" s="2" t="str" cm="1">
        <f t="array" ref="F495">_xlfn.IFS(Table24[[#This Row],[QuantityInStock]]&lt;=Table24[[#This Row],[ReorderPoint]],"Low Stock",Table24[[#This Row],[QuantityInStock]]&gt;Table24[[#This Row],[ReorderPoint]],"Adequate Stock",Table24[[#This Row],[QuantityInStock]]=0,"Out Of Stock")</f>
        <v>Adequate Stock</v>
      </c>
      <c r="G495" s="2" t="s">
        <v>517</v>
      </c>
      <c r="H495" s="2" t="s">
        <v>521</v>
      </c>
      <c r="I495" s="2">
        <v>13</v>
      </c>
      <c r="J495" s="2" t="s">
        <v>526</v>
      </c>
      <c r="K495" s="2">
        <v>5.3</v>
      </c>
      <c r="L495" s="2">
        <f>Table24[[#This Row],[QuantityInStock]]*Table24[[#This Row],[UnitCost]]</f>
        <v>2178.2999999999997</v>
      </c>
    </row>
    <row r="496" spans="1:12" x14ac:dyDescent="0.3">
      <c r="A496" s="2" t="s">
        <v>503</v>
      </c>
      <c r="B496" s="2" t="s">
        <v>510</v>
      </c>
      <c r="C496" s="2" t="str">
        <f>_xlfn.XLOOKUP(Table24[[#This Row],[ProductName]],Table4[Product name],Table4[Category],"Not Found",0)</f>
        <v>Electronics</v>
      </c>
      <c r="D496" s="2">
        <v>184</v>
      </c>
      <c r="E496" s="2">
        <v>34</v>
      </c>
      <c r="F496" s="2" t="str" cm="1">
        <f t="array" ref="F496">_xlfn.IFS(Table24[[#This Row],[QuantityInStock]]&lt;=Table24[[#This Row],[ReorderPoint]],"Low Stock",Table24[[#This Row],[QuantityInStock]]&gt;Table24[[#This Row],[ReorderPoint]],"Adequate Stock",Table24[[#This Row],[QuantityInStock]]=0,"Out Of Stock")</f>
        <v>Adequate Stock</v>
      </c>
      <c r="G496" s="2" t="s">
        <v>516</v>
      </c>
      <c r="H496" s="2" t="s">
        <v>520</v>
      </c>
      <c r="I496" s="2">
        <v>3</v>
      </c>
      <c r="J496" s="2" t="s">
        <v>528</v>
      </c>
      <c r="K496" s="2">
        <v>81.569999999999993</v>
      </c>
      <c r="L496" s="2">
        <f>Table24[[#This Row],[QuantityInStock]]*Table24[[#This Row],[UnitCost]]</f>
        <v>15008.88</v>
      </c>
    </row>
    <row r="497" spans="1:12" x14ac:dyDescent="0.3">
      <c r="A497" s="2" t="s">
        <v>504</v>
      </c>
      <c r="B497" s="2" t="s">
        <v>510</v>
      </c>
      <c r="C497" s="2" t="str">
        <f>_xlfn.XLOOKUP(Table24[[#This Row],[ProductName]],Table4[Product name],Table4[Category],"Not Found",0)</f>
        <v>Electronics</v>
      </c>
      <c r="D497" s="2">
        <v>479</v>
      </c>
      <c r="E497" s="2">
        <v>36</v>
      </c>
      <c r="F497" s="2" t="str" cm="1">
        <f t="array" ref="F497">_xlfn.IFS(Table24[[#This Row],[QuantityInStock]]&lt;=Table24[[#This Row],[ReorderPoint]],"Low Stock",Table24[[#This Row],[QuantityInStock]]&gt;Table24[[#This Row],[ReorderPoint]],"Adequate Stock",Table24[[#This Row],[QuantityInStock]]=0,"Out Of Stock")</f>
        <v>Adequate Stock</v>
      </c>
      <c r="G497" s="2" t="s">
        <v>518</v>
      </c>
      <c r="H497" s="2" t="s">
        <v>522</v>
      </c>
      <c r="I497" s="2">
        <v>14</v>
      </c>
      <c r="J497" s="2" t="s">
        <v>527</v>
      </c>
      <c r="K497" s="2">
        <v>90.22</v>
      </c>
      <c r="L497" s="2">
        <f>Table24[[#This Row],[QuantityInStock]]*Table24[[#This Row],[UnitCost]]</f>
        <v>43215.38</v>
      </c>
    </row>
    <row r="498" spans="1:12" x14ac:dyDescent="0.3">
      <c r="A498" s="2" t="s">
        <v>505</v>
      </c>
      <c r="B498" s="2" t="s">
        <v>512</v>
      </c>
      <c r="C498" s="2" t="str">
        <f>_xlfn.XLOOKUP(Table24[[#This Row],[ProductName]],Table4[Product name],Table4[Category],"Not Found",0)</f>
        <v>Furniture</v>
      </c>
      <c r="D498" s="2">
        <v>186</v>
      </c>
      <c r="E498" s="2">
        <v>27</v>
      </c>
      <c r="F498" s="2" t="str" cm="1">
        <f t="array" ref="F498">_xlfn.IFS(Table24[[#This Row],[QuantityInStock]]&lt;=Table24[[#This Row],[ReorderPoint]],"Low Stock",Table24[[#This Row],[QuantityInStock]]&gt;Table24[[#This Row],[ReorderPoint]],"Adequate Stock",Table24[[#This Row],[QuantityInStock]]=0,"Out Of Stock")</f>
        <v>Adequate Stock</v>
      </c>
      <c r="G498" s="2" t="s">
        <v>516</v>
      </c>
      <c r="H498" s="2" t="s">
        <v>520</v>
      </c>
      <c r="I498" s="2">
        <v>3</v>
      </c>
      <c r="J498" s="2" t="s">
        <v>525</v>
      </c>
      <c r="K498" s="2">
        <v>146.94999999999999</v>
      </c>
      <c r="L498" s="2">
        <f>Table24[[#This Row],[QuantityInStock]]*Table24[[#This Row],[UnitCost]]</f>
        <v>27332.699999999997</v>
      </c>
    </row>
    <row r="499" spans="1:12" x14ac:dyDescent="0.3">
      <c r="A499" s="2" t="s">
        <v>506</v>
      </c>
      <c r="B499" s="2" t="s">
        <v>513</v>
      </c>
      <c r="C499" s="2" t="str">
        <f>_xlfn.XLOOKUP(Table24[[#This Row],[ProductName]],Table4[Product name],Table4[Category],"Not Found",0)</f>
        <v>Electronics</v>
      </c>
      <c r="D499" s="2">
        <v>240</v>
      </c>
      <c r="E499" s="2">
        <v>27</v>
      </c>
      <c r="F499" s="2" t="str" cm="1">
        <f t="array" ref="F499">_xlfn.IFS(Table24[[#This Row],[QuantityInStock]]&lt;=Table24[[#This Row],[ReorderPoint]],"Low Stock",Table24[[#This Row],[QuantityInStock]]&gt;Table24[[#This Row],[ReorderPoint]],"Adequate Stock",Table24[[#This Row],[QuantityInStock]]=0,"Out Of Stock")</f>
        <v>Adequate Stock</v>
      </c>
      <c r="G499" s="2" t="s">
        <v>517</v>
      </c>
      <c r="H499" s="2" t="s">
        <v>521</v>
      </c>
      <c r="I499" s="2">
        <v>6</v>
      </c>
      <c r="J499" s="2" t="s">
        <v>525</v>
      </c>
      <c r="K499" s="2">
        <v>153.49</v>
      </c>
      <c r="L499" s="2">
        <f>Table24[[#This Row],[QuantityInStock]]*Table24[[#This Row],[UnitCost]]</f>
        <v>36837.600000000006</v>
      </c>
    </row>
    <row r="500" spans="1:12" x14ac:dyDescent="0.3">
      <c r="A500" s="2" t="s">
        <v>507</v>
      </c>
      <c r="B500" s="2" t="s">
        <v>515</v>
      </c>
      <c r="C500" s="2" t="str">
        <f>_xlfn.XLOOKUP(Table24[[#This Row],[ProductName]],Table4[Product name],Table4[Category],"Not Found",0)</f>
        <v>Electronics</v>
      </c>
      <c r="D500" s="2">
        <v>307</v>
      </c>
      <c r="E500" s="2">
        <v>29</v>
      </c>
      <c r="F500" s="2" t="str" cm="1">
        <f t="array" ref="F500">_xlfn.IFS(Table24[[#This Row],[QuantityInStock]]&lt;=Table24[[#This Row],[ReorderPoint]],"Low Stock",Table24[[#This Row],[QuantityInStock]]&gt;Table24[[#This Row],[ReorderPoint]],"Adequate Stock",Table24[[#This Row],[QuantityInStock]]=0,"Out Of Stock")</f>
        <v>Adequate Stock</v>
      </c>
      <c r="G500" s="2" t="s">
        <v>519</v>
      </c>
      <c r="H500" s="2" t="s">
        <v>523</v>
      </c>
      <c r="I500" s="2">
        <v>5</v>
      </c>
      <c r="J500" s="2" t="s">
        <v>525</v>
      </c>
      <c r="K500" s="2">
        <v>116.3</v>
      </c>
      <c r="L500" s="2">
        <f>Table24[[#This Row],[QuantityInStock]]*Table24[[#This Row],[UnitCost]]</f>
        <v>35704.1</v>
      </c>
    </row>
    <row r="501" spans="1:12" x14ac:dyDescent="0.3">
      <c r="A501" s="2" t="s">
        <v>508</v>
      </c>
      <c r="B501" s="2" t="s">
        <v>514</v>
      </c>
      <c r="C501" s="2" t="str">
        <f>_xlfn.XLOOKUP(Table24[[#This Row],[ProductName]],Table4[Product name],Table4[Category],"Not Found",0)</f>
        <v>Furniture</v>
      </c>
      <c r="D501" s="2">
        <v>386</v>
      </c>
      <c r="E501" s="2">
        <v>92</v>
      </c>
      <c r="F501" s="2" t="str" cm="1">
        <f t="array" ref="F501">_xlfn.IFS(Table24[[#This Row],[QuantityInStock]]&lt;=Table24[[#This Row],[ReorderPoint]],"Low Stock",Table24[[#This Row],[QuantityInStock]]&gt;Table24[[#This Row],[ReorderPoint]],"Adequate Stock",Table24[[#This Row],[QuantityInStock]]=0,"Out Of Stock")</f>
        <v>Adequate Stock</v>
      </c>
      <c r="G501" s="2" t="s">
        <v>518</v>
      </c>
      <c r="H501" s="2" t="s">
        <v>522</v>
      </c>
      <c r="I501" s="2">
        <v>15</v>
      </c>
      <c r="J501" s="2" t="s">
        <v>528</v>
      </c>
      <c r="K501" s="2">
        <v>43.5</v>
      </c>
      <c r="L501" s="7">
        <f>Table24[[#This Row],[QuantityInStock]]*Table24[[#This Row],[UnitCost]]</f>
        <v>16791</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stock details</vt:lpstr>
      <vt:lpstr>analysis</vt:lpstr>
      <vt:lpstr>inventory value</vt:lpstr>
      <vt:lpstr>inv_by_product</vt:lpstr>
      <vt:lpstr>location</vt:lpstr>
      <vt:lpstr>salers analysis</vt:lpstr>
      <vt:lpstr>avg lead time</vt:lpstr>
      <vt:lpstr>stock level</vt:lpstr>
      <vt:lpstr>cleaned_dataset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BHUMIKA DASH</cp:lastModifiedBy>
  <dcterms:created xsi:type="dcterms:W3CDTF">2025-06-21T13:19:13Z</dcterms:created>
  <dcterms:modified xsi:type="dcterms:W3CDTF">2026-08-30T13:48:14Z</dcterms:modified>
</cp:coreProperties>
</file>